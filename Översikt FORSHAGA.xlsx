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45875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45875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45875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45875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45875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45875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45875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61722-2023</t>
        </is>
      </c>
      <c r="B9" s="1" t="n">
        <v>45265</v>
      </c>
      <c r="C9" s="1" t="n">
        <v>45875</v>
      </c>
      <c r="D9" t="inlineStr">
        <is>
          <t>VÄRMLANDS LÄN</t>
        </is>
      </c>
      <c r="E9" t="inlineStr">
        <is>
          <t>FORSHAGA</t>
        </is>
      </c>
      <c r="G9" t="n">
        <v>1.7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Vanlig groda
Vanlig padda</t>
        </is>
      </c>
      <c r="S9">
        <f>HYPERLINK("https://klasma.github.io/Logging_1763/artfynd/A 61722-2023 artfynd.xlsx", "A 61722-2023")</f>
        <v/>
      </c>
      <c r="T9">
        <f>HYPERLINK("https://klasma.github.io/Logging_1763/kartor/A 61722-2023 karta.png", "A 61722-2023")</f>
        <v/>
      </c>
      <c r="V9">
        <f>HYPERLINK("https://klasma.github.io/Logging_1763/klagomål/A 61722-2023 FSC-klagomål.docx", "A 61722-2023")</f>
        <v/>
      </c>
      <c r="W9">
        <f>HYPERLINK("https://klasma.github.io/Logging_1763/klagomålsmail/A 61722-2023 FSC-klagomål mail.docx", "A 61722-2023")</f>
        <v/>
      </c>
      <c r="X9">
        <f>HYPERLINK("https://klasma.github.io/Logging_1763/tillsyn/A 61722-2023 tillsynsbegäran.docx", "A 61722-2023")</f>
        <v/>
      </c>
      <c r="Y9">
        <f>HYPERLINK("https://klasma.github.io/Logging_1763/tillsynsmail/A 61722-2023 tillsynsbegäran mail.docx", "A 61722-2023")</f>
        <v/>
      </c>
      <c r="Z9">
        <f>HYPERLINK("https://klasma.github.io/Logging_1763/fåglar/A 61722-2023 prioriterade fågelarter.docx", "A 61722-2023")</f>
        <v/>
      </c>
    </row>
    <row r="10" ht="15" customHeight="1">
      <c r="A10" t="inlineStr">
        <is>
          <t>A 3713-2024</t>
        </is>
      </c>
      <c r="B10" s="1" t="n">
        <v>45321</v>
      </c>
      <c r="C10" s="1" t="n">
        <v>45875</v>
      </c>
      <c r="D10" t="inlineStr">
        <is>
          <t>VÄRMLANDS LÄN</t>
        </is>
      </c>
      <c r="E10" t="inlineStr">
        <is>
          <t>FORSHAGA</t>
        </is>
      </c>
      <c r="G10" t="n">
        <v>6.1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Åkergroda
Mindre vattensalamander
Vanlig padda</t>
        </is>
      </c>
      <c r="S10">
        <f>HYPERLINK("https://klasma.github.io/Logging_1763/artfynd/A 3713-2024 artfynd.xlsx", "A 3713-2024")</f>
        <v/>
      </c>
      <c r="T10">
        <f>HYPERLINK("https://klasma.github.io/Logging_1763/kartor/A 3713-2024 karta.png", "A 3713-2024")</f>
        <v/>
      </c>
      <c r="V10">
        <f>HYPERLINK("https://klasma.github.io/Logging_1763/klagomål/A 3713-2024 FSC-klagomål.docx", "A 3713-2024")</f>
        <v/>
      </c>
      <c r="W10">
        <f>HYPERLINK("https://klasma.github.io/Logging_1763/klagomålsmail/A 3713-2024 FSC-klagomål mail.docx", "A 3713-2024")</f>
        <v/>
      </c>
      <c r="X10">
        <f>HYPERLINK("https://klasma.github.io/Logging_1763/tillsyn/A 3713-2024 tillsynsbegäran.docx", "A 3713-2024")</f>
        <v/>
      </c>
      <c r="Y10">
        <f>HYPERLINK("https://klasma.github.io/Logging_1763/tillsynsmail/A 3713-2024 tillsynsbegäran mail.docx", "A 3713-2024")</f>
        <v/>
      </c>
    </row>
    <row r="11" ht="15" customHeight="1">
      <c r="A11" t="inlineStr">
        <is>
          <t>A 51072-2021</t>
        </is>
      </c>
      <c r="B11" s="1" t="n">
        <v>44461</v>
      </c>
      <c r="C11" s="1" t="n">
        <v>45875</v>
      </c>
      <c r="D11" t="inlineStr">
        <is>
          <t>VÄRMLANDS LÄN</t>
        </is>
      </c>
      <c r="E11" t="inlineStr">
        <is>
          <t>FORSHAGA</t>
        </is>
      </c>
      <c r="G11" t="n">
        <v>19.6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 gräsfjäril
Violettkantad guldvinge</t>
        </is>
      </c>
      <c r="S11">
        <f>HYPERLINK("https://klasma.github.io/Logging_1763/artfynd/A 51072-2021 artfynd.xlsx", "A 51072-2021")</f>
        <v/>
      </c>
      <c r="T11">
        <f>HYPERLINK("https://klasma.github.io/Logging_1763/kartor/A 51072-2021 karta.png", "A 51072-2021")</f>
        <v/>
      </c>
      <c r="V11">
        <f>HYPERLINK("https://klasma.github.io/Logging_1763/klagomål/A 51072-2021 FSC-klagomål.docx", "A 51072-2021")</f>
        <v/>
      </c>
      <c r="W11">
        <f>HYPERLINK("https://klasma.github.io/Logging_1763/klagomålsmail/A 51072-2021 FSC-klagomål mail.docx", "A 51072-2021")</f>
        <v/>
      </c>
      <c r="X11">
        <f>HYPERLINK("https://klasma.github.io/Logging_1763/tillsyn/A 51072-2021 tillsynsbegäran.docx", "A 51072-2021")</f>
        <v/>
      </c>
      <c r="Y11">
        <f>HYPERLINK("https://klasma.github.io/Logging_1763/tillsynsmail/A 51072-2021 tillsynsbegäran mail.docx", "A 51072-2021")</f>
        <v/>
      </c>
    </row>
    <row r="12" ht="15" customHeight="1">
      <c r="A12" t="inlineStr">
        <is>
          <t>A 66072-2021</t>
        </is>
      </c>
      <c r="B12" s="1" t="n">
        <v>44517</v>
      </c>
      <c r="C12" s="1" t="n">
        <v>45875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66072-2021 artfynd.xlsx", "A 66072-2021")</f>
        <v/>
      </c>
      <c r="T12">
        <f>HYPERLINK("https://klasma.github.io/Logging_1763/kartor/A 66072-2021 karta.png", "A 66072-2021")</f>
        <v/>
      </c>
      <c r="V12">
        <f>HYPERLINK("https://klasma.github.io/Logging_1763/klagomål/A 66072-2021 FSC-klagomål.docx", "A 66072-2021")</f>
        <v/>
      </c>
      <c r="W12">
        <f>HYPERLINK("https://klasma.github.io/Logging_1763/klagomålsmail/A 66072-2021 FSC-klagomål mail.docx", "A 66072-2021")</f>
        <v/>
      </c>
      <c r="X12">
        <f>HYPERLINK("https://klasma.github.io/Logging_1763/tillsyn/A 66072-2021 tillsynsbegäran.docx", "A 66072-2021")</f>
        <v/>
      </c>
      <c r="Y12">
        <f>HYPERLINK("https://klasma.github.io/Logging_1763/tillsynsmail/A 66072-2021 tillsynsbegäran mail.docx", "A 66072-2021")</f>
        <v/>
      </c>
    </row>
    <row r="13" ht="15" customHeight="1">
      <c r="A13" t="inlineStr">
        <is>
          <t>A 53000-2023</t>
        </is>
      </c>
      <c r="B13" s="1" t="n">
        <v>45226</v>
      </c>
      <c r="C13" s="1" t="n">
        <v>45875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13.2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HYPERLINK("https://klasma.github.io/Logging_1763/artfynd/A 53000-2023 artfynd.xlsx", "A 53000-2023")</f>
        <v/>
      </c>
      <c r="T13">
        <f>HYPERLINK("https://klasma.github.io/Logging_1763/kartor/A 53000-2023 karta.png", "A 53000-2023")</f>
        <v/>
      </c>
      <c r="V13">
        <f>HYPERLINK("https://klasma.github.io/Logging_1763/klagomål/A 53000-2023 FSC-klagomål.docx", "A 53000-2023")</f>
        <v/>
      </c>
      <c r="W13">
        <f>HYPERLINK("https://klasma.github.io/Logging_1763/klagomålsmail/A 53000-2023 FSC-klagomål mail.docx", "A 53000-2023")</f>
        <v/>
      </c>
      <c r="X13">
        <f>HYPERLINK("https://klasma.github.io/Logging_1763/tillsyn/A 53000-2023 tillsynsbegäran.docx", "A 53000-2023")</f>
        <v/>
      </c>
      <c r="Y13">
        <f>HYPERLINK("https://klasma.github.io/Logging_1763/tillsynsmail/A 53000-2023 tillsynsbegäran mail.docx", "A 53000-2023")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45875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45875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45875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45875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53590-2020</t>
        </is>
      </c>
      <c r="B18" s="1" t="n">
        <v>44124</v>
      </c>
      <c r="C18" s="1" t="n">
        <v>45875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HYPERLINK("https://klasma.github.io/Logging_1763/artfynd/A 53590-2020 artfynd.xlsx", "A 53590-2020")</f>
        <v/>
      </c>
      <c r="T18">
        <f>HYPERLINK("https://klasma.github.io/Logging_1763/kartor/A 53590-2020 karta.png", "A 53590-2020")</f>
        <v/>
      </c>
      <c r="V18">
        <f>HYPERLINK("https://klasma.github.io/Logging_1763/klagomål/A 53590-2020 FSC-klagomål.docx", "A 53590-2020")</f>
        <v/>
      </c>
      <c r="W18">
        <f>HYPERLINK("https://klasma.github.io/Logging_1763/klagomålsmail/A 53590-2020 FSC-klagomål mail.docx", "A 53590-2020")</f>
        <v/>
      </c>
      <c r="X18">
        <f>HYPERLINK("https://klasma.github.io/Logging_1763/tillsyn/A 53590-2020 tillsynsbegäran.docx", "A 53590-2020")</f>
        <v/>
      </c>
      <c r="Y18">
        <f>HYPERLINK("https://klasma.github.io/Logging_1763/tillsynsmail/A 53590-2020 tillsynsbegäran mail.docx", "A 53590-2020")</f>
        <v/>
      </c>
      <c r="Z18">
        <f>HYPERLINK("https://klasma.github.io/Logging_1763/fåglar/A 53590-2020 prioriterade fågelarter.docx", "A 53590-2020")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45875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45875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45875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45875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45875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45875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45875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6145-2024</t>
        </is>
      </c>
      <c r="B26" s="1" t="n">
        <v>45337</v>
      </c>
      <c r="C26" s="1" t="n">
        <v>45875</v>
      </c>
      <c r="D26" t="inlineStr">
        <is>
          <t>VÄRMLANDS LÄN</t>
        </is>
      </c>
      <c r="E26" t="inlineStr">
        <is>
          <t>FORSHAGA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HYPERLINK("https://klasma.github.io/Logging_1763/artfynd/A 6145-2024 artfynd.xlsx", "A 6145-2024")</f>
        <v/>
      </c>
      <c r="T26">
        <f>HYPERLINK("https://klasma.github.io/Logging_1763/kartor/A 6145-2024 karta.png", "A 6145-2024")</f>
        <v/>
      </c>
      <c r="V26">
        <f>HYPERLINK("https://klasma.github.io/Logging_1763/klagomål/A 6145-2024 FSC-klagomål.docx", "A 6145-2024")</f>
        <v/>
      </c>
      <c r="W26">
        <f>HYPERLINK("https://klasma.github.io/Logging_1763/klagomålsmail/A 6145-2024 FSC-klagomål mail.docx", "A 6145-2024")</f>
        <v/>
      </c>
      <c r="X26">
        <f>HYPERLINK("https://klasma.github.io/Logging_1763/tillsyn/A 6145-2024 tillsynsbegäran.docx", "A 6145-2024")</f>
        <v/>
      </c>
      <c r="Y26">
        <f>HYPERLINK("https://klasma.github.io/Logging_1763/tillsynsmail/A 6145-2024 tillsynsbegäran mail.docx", "A 6145-2024")</f>
        <v/>
      </c>
      <c r="Z26">
        <f>HYPERLINK("https://klasma.github.io/Logging_1763/fåglar/A 6145-2024 prioriterade fågelarter.docx", "A 6145-2024")</f>
        <v/>
      </c>
    </row>
    <row r="27" ht="15" customHeight="1">
      <c r="A27" t="inlineStr">
        <is>
          <t>A 35334-2024</t>
        </is>
      </c>
      <c r="B27" s="1" t="n">
        <v>45530</v>
      </c>
      <c r="C27" s="1" t="n">
        <v>45875</v>
      </c>
      <c r="D27" t="inlineStr">
        <is>
          <t>VÄRMLANDS LÄN</t>
        </is>
      </c>
      <c r="E27" t="inlineStr">
        <is>
          <t>FORSHAGA</t>
        </is>
      </c>
      <c r="F27" t="inlineStr">
        <is>
          <t>Kommuner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HYPERLINK("https://klasma.github.io/Logging_1763/artfynd/A 35334-2024 artfynd.xlsx", "A 35334-2024")</f>
        <v/>
      </c>
      <c r="T27">
        <f>HYPERLINK("https://klasma.github.io/Logging_1763/kartor/A 35334-2024 karta.png", "A 35334-2024")</f>
        <v/>
      </c>
      <c r="V27">
        <f>HYPERLINK("https://klasma.github.io/Logging_1763/klagomål/A 35334-2024 FSC-klagomål.docx", "A 35334-2024")</f>
        <v/>
      </c>
      <c r="W27">
        <f>HYPERLINK("https://klasma.github.io/Logging_1763/klagomålsmail/A 35334-2024 FSC-klagomål mail.docx", "A 35334-2024")</f>
        <v/>
      </c>
      <c r="X27">
        <f>HYPERLINK("https://klasma.github.io/Logging_1763/tillsyn/A 35334-2024 tillsynsbegäran.docx", "A 35334-2024")</f>
        <v/>
      </c>
      <c r="Y27">
        <f>HYPERLINK("https://klasma.github.io/Logging_1763/tillsynsmail/A 35334-2024 tillsynsbegäran mail.docx", "A 35334-2024")</f>
        <v/>
      </c>
    </row>
    <row r="28" ht="15" customHeight="1">
      <c r="A28" t="inlineStr">
        <is>
          <t>A 46620-2024</t>
        </is>
      </c>
      <c r="B28" s="1" t="n">
        <v>45583</v>
      </c>
      <c r="C28" s="1" t="n">
        <v>45875</v>
      </c>
      <c r="D28" t="inlineStr">
        <is>
          <t>VÄRMLANDS LÄN</t>
        </is>
      </c>
      <c r="E28" t="inlineStr">
        <is>
          <t>FORSHAGA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HYPERLINK("https://klasma.github.io/Logging_1763/artfynd/A 46620-2024 artfynd.xlsx", "A 46620-2024")</f>
        <v/>
      </c>
      <c r="T28">
        <f>HYPERLINK("https://klasma.github.io/Logging_1763/kartor/A 46620-2024 karta.png", "A 46620-2024")</f>
        <v/>
      </c>
      <c r="V28">
        <f>HYPERLINK("https://klasma.github.io/Logging_1763/klagomål/A 46620-2024 FSC-klagomål.docx", "A 46620-2024")</f>
        <v/>
      </c>
      <c r="W28">
        <f>HYPERLINK("https://klasma.github.io/Logging_1763/klagomålsmail/A 46620-2024 FSC-klagomål mail.docx", "A 46620-2024")</f>
        <v/>
      </c>
      <c r="X28">
        <f>HYPERLINK("https://klasma.github.io/Logging_1763/tillsyn/A 46620-2024 tillsynsbegäran.docx", "A 46620-2024")</f>
        <v/>
      </c>
      <c r="Y28">
        <f>HYPERLINK("https://klasma.github.io/Logging_1763/tillsynsmail/A 46620-2024 tillsynsbegäran mail.docx", "A 46620-2024")</f>
        <v/>
      </c>
    </row>
    <row r="29" ht="15" customHeight="1">
      <c r="A29" t="inlineStr">
        <is>
          <t>A 18113-2019</t>
        </is>
      </c>
      <c r="B29" s="1" t="n">
        <v>43558</v>
      </c>
      <c r="C29" s="1" t="n">
        <v>45875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19828-2019</t>
        </is>
      </c>
      <c r="B30" s="1" t="n">
        <v>43566</v>
      </c>
      <c r="C30" s="1" t="n">
        <v>45875</v>
      </c>
      <c r="D30" t="inlineStr">
        <is>
          <t>VÄRMLANDS LÄN</t>
        </is>
      </c>
      <c r="E30" t="inlineStr">
        <is>
          <t>FORSHAGA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20791-2019</t>
        </is>
      </c>
      <c r="B31" s="1" t="n">
        <v>43573</v>
      </c>
      <c r="C31" s="1" t="n">
        <v>45875</v>
      </c>
      <c r="D31" t="inlineStr">
        <is>
          <t>VÄRMLANDS LÄN</t>
        </is>
      </c>
      <c r="E31" t="inlineStr">
        <is>
          <t>FORSHAGA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21185-2019</t>
        </is>
      </c>
      <c r="B32" s="1" t="n">
        <v>43579</v>
      </c>
      <c r="C32" s="1" t="n">
        <v>45875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21283-2019</t>
        </is>
      </c>
      <c r="B33" s="1" t="n">
        <v>43579</v>
      </c>
      <c r="C33" s="1" t="n">
        <v>45875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21196-2019</t>
        </is>
      </c>
      <c r="B34" s="1" t="n">
        <v>43579</v>
      </c>
      <c r="C34" s="1" t="n">
        <v>45875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21464-2019</t>
        </is>
      </c>
      <c r="B35" s="1" t="n">
        <v>43580</v>
      </c>
      <c r="C35" s="1" t="n">
        <v>45875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21467-2019</t>
        </is>
      </c>
      <c r="B36" s="1" t="n">
        <v>43580</v>
      </c>
      <c r="C36" s="1" t="n">
        <v>45875</v>
      </c>
      <c r="D36" t="inlineStr">
        <is>
          <t>VÄRMLANDS LÄN</t>
        </is>
      </c>
      <c r="E36" t="inlineStr">
        <is>
          <t>FORSHAGA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21695-2019</t>
        </is>
      </c>
      <c r="B37" s="1" t="n">
        <v>43581</v>
      </c>
      <c r="C37" s="1" t="n">
        <v>45875</v>
      </c>
      <c r="D37" t="inlineStr">
        <is>
          <t>VÄRMLANDS LÄN</t>
        </is>
      </c>
      <c r="E37" t="inlineStr">
        <is>
          <t>FORSHAGA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23032-2019</t>
        </is>
      </c>
      <c r="B38" s="1" t="n">
        <v>43591</v>
      </c>
      <c r="C38" s="1" t="n">
        <v>45875</v>
      </c>
      <c r="D38" t="inlineStr">
        <is>
          <t>VÄRMLANDS LÄN</t>
        </is>
      </c>
      <c r="E38" t="inlineStr">
        <is>
          <t>FORSHAGA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23266-2019</t>
        </is>
      </c>
      <c r="B39" s="1" t="n">
        <v>43592</v>
      </c>
      <c r="C39" s="1" t="n">
        <v>45875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24215-2019</t>
        </is>
      </c>
      <c r="B40" s="1" t="n">
        <v>43599</v>
      </c>
      <c r="C40" s="1" t="n">
        <v>45875</v>
      </c>
      <c r="D40" t="inlineStr">
        <is>
          <t>VÄRMLANDS LÄN</t>
        </is>
      </c>
      <c r="E40" t="inlineStr">
        <is>
          <t>FORSHAGA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26412-2019</t>
        </is>
      </c>
      <c r="B41" s="1" t="n">
        <v>43612</v>
      </c>
      <c r="C41" s="1" t="n">
        <v>45875</v>
      </c>
      <c r="D41" t="inlineStr">
        <is>
          <t>VÄRMLANDS LÄN</t>
        </is>
      </c>
      <c r="E41" t="inlineStr">
        <is>
          <t>FORSHAGA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26509-2019</t>
        </is>
      </c>
      <c r="B42" s="1" t="n">
        <v>43612</v>
      </c>
      <c r="C42" s="1" t="n">
        <v>45875</v>
      </c>
      <c r="D42" t="inlineStr">
        <is>
          <t>VÄRMLANDS LÄN</t>
        </is>
      </c>
      <c r="E42" t="inlineStr">
        <is>
          <t>FORSHAGA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28904-2019</t>
        </is>
      </c>
      <c r="B43" s="1" t="n">
        <v>43628</v>
      </c>
      <c r="C43" s="1" t="n">
        <v>45875</v>
      </c>
      <c r="D43" t="inlineStr">
        <is>
          <t>VÄRMLANDS LÄN</t>
        </is>
      </c>
      <c r="E43" t="inlineStr">
        <is>
          <t>FORSHAGA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29644-2019</t>
        </is>
      </c>
      <c r="B44" s="1" t="n">
        <v>43630</v>
      </c>
      <c r="C44" s="1" t="n">
        <v>45875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31383-2019</t>
        </is>
      </c>
      <c r="B45" s="1" t="n">
        <v>43641</v>
      </c>
      <c r="C45" s="1" t="n">
        <v>45875</v>
      </c>
      <c r="D45" t="inlineStr">
        <is>
          <t>VÄRMLANDS LÄN</t>
        </is>
      </c>
      <c r="E45" t="inlineStr">
        <is>
          <t>FORSHAGA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31349-2019</t>
        </is>
      </c>
      <c r="B46" s="1" t="n">
        <v>43641</v>
      </c>
      <c r="C46" s="1" t="n">
        <v>45875</v>
      </c>
      <c r="D46" t="inlineStr">
        <is>
          <t>VÄRMLANDS LÄN</t>
        </is>
      </c>
      <c r="E46" t="inlineStr">
        <is>
          <t>FORSHAGA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35088-2019</t>
        </is>
      </c>
      <c r="B47" s="1" t="n">
        <v>43661</v>
      </c>
      <c r="C47" s="1" t="n">
        <v>45875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40018-2019</t>
        </is>
      </c>
      <c r="B48" s="1" t="n">
        <v>43692</v>
      </c>
      <c r="C48" s="1" t="n">
        <v>45875</v>
      </c>
      <c r="D48" t="inlineStr">
        <is>
          <t>VÄRMLANDS LÄN</t>
        </is>
      </c>
      <c r="E48" t="inlineStr">
        <is>
          <t>FORSHAGA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40039-2019</t>
        </is>
      </c>
      <c r="B49" s="1" t="n">
        <v>43692</v>
      </c>
      <c r="C49" s="1" t="n">
        <v>45875</v>
      </c>
      <c r="D49" t="inlineStr">
        <is>
          <t>VÄRMLANDS LÄN</t>
        </is>
      </c>
      <c r="E49" t="inlineStr">
        <is>
          <t>FORSHAGA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40237-2019</t>
        </is>
      </c>
      <c r="B50" s="1" t="n">
        <v>43694</v>
      </c>
      <c r="C50" s="1" t="n">
        <v>45875</v>
      </c>
      <c r="D50" t="inlineStr">
        <is>
          <t>VÄRMLANDS LÄN</t>
        </is>
      </c>
      <c r="E50" t="inlineStr">
        <is>
          <t>FORSHAGA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40238-2019</t>
        </is>
      </c>
      <c r="B51" s="1" t="n">
        <v>43694</v>
      </c>
      <c r="C51" s="1" t="n">
        <v>45875</v>
      </c>
      <c r="D51" t="inlineStr">
        <is>
          <t>VÄRMLANDS LÄN</t>
        </is>
      </c>
      <c r="E51" t="inlineStr">
        <is>
          <t>FORSHAGA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41694-2019</t>
        </is>
      </c>
      <c r="B52" s="1" t="n">
        <v>43696</v>
      </c>
      <c r="C52" s="1" t="n">
        <v>45875</v>
      </c>
      <c r="D52" t="inlineStr">
        <is>
          <t>VÄRMLANDS LÄN</t>
        </is>
      </c>
      <c r="E52" t="inlineStr">
        <is>
          <t>FORSHAGA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42468-2019</t>
        </is>
      </c>
      <c r="B53" s="1" t="n">
        <v>43698</v>
      </c>
      <c r="C53" s="1" t="n">
        <v>45875</v>
      </c>
      <c r="D53" t="inlineStr">
        <is>
          <t>VÄRMLANDS LÄN</t>
        </is>
      </c>
      <c r="E53" t="inlineStr">
        <is>
          <t>FORSHAGA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42463-2019</t>
        </is>
      </c>
      <c r="B54" s="1" t="n">
        <v>43698</v>
      </c>
      <c r="C54" s="1" t="n">
        <v>45875</v>
      </c>
      <c r="D54" t="inlineStr">
        <is>
          <t>VÄRMLANDS LÄN</t>
        </is>
      </c>
      <c r="E54" t="inlineStr">
        <is>
          <t>FORSHAGA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42472-2019</t>
        </is>
      </c>
      <c r="B55" s="1" t="n">
        <v>43698</v>
      </c>
      <c r="C55" s="1" t="n">
        <v>45875</v>
      </c>
      <c r="D55" t="inlineStr">
        <is>
          <t>VÄRMLANDS LÄN</t>
        </is>
      </c>
      <c r="E55" t="inlineStr">
        <is>
          <t>FORSHAGA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44495-2019</t>
        </is>
      </c>
      <c r="B56" s="1" t="n">
        <v>43711</v>
      </c>
      <c r="C56" s="1" t="n">
        <v>45875</v>
      </c>
      <c r="D56" t="inlineStr">
        <is>
          <t>VÄRMLANDS LÄN</t>
        </is>
      </c>
      <c r="E56" t="inlineStr">
        <is>
          <t>FORSHAGA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47457-2019</t>
        </is>
      </c>
      <c r="B57" s="1" t="n">
        <v>43724</v>
      </c>
      <c r="C57" s="1" t="n">
        <v>45875</v>
      </c>
      <c r="D57" t="inlineStr">
        <is>
          <t>VÄRMLANDS LÄN</t>
        </is>
      </c>
      <c r="E57" t="inlineStr">
        <is>
          <t>FORSHAGA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54640-2019</t>
        </is>
      </c>
      <c r="B58" s="1" t="n">
        <v>43754</v>
      </c>
      <c r="C58" s="1" t="n">
        <v>45875</v>
      </c>
      <c r="D58" t="inlineStr">
        <is>
          <t>VÄRMLANDS LÄN</t>
        </is>
      </c>
      <c r="E58" t="inlineStr">
        <is>
          <t>FORSHAGA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55838-2019</t>
        </is>
      </c>
      <c r="B59" s="1" t="n">
        <v>43761</v>
      </c>
      <c r="C59" s="1" t="n">
        <v>45875</v>
      </c>
      <c r="D59" t="inlineStr">
        <is>
          <t>VÄRMLANDS LÄN</t>
        </is>
      </c>
      <c r="E59" t="inlineStr">
        <is>
          <t>FORSHAGA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55834-2019</t>
        </is>
      </c>
      <c r="B60" s="1" t="n">
        <v>43761</v>
      </c>
      <c r="C60" s="1" t="n">
        <v>45875</v>
      </c>
      <c r="D60" t="inlineStr">
        <is>
          <t>VÄRMLANDS LÄN</t>
        </is>
      </c>
      <c r="E60" t="inlineStr">
        <is>
          <t>FORSHAGA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56825-2019</t>
        </is>
      </c>
      <c r="B61" s="1" t="n">
        <v>43764</v>
      </c>
      <c r="C61" s="1" t="n">
        <v>45875</v>
      </c>
      <c r="D61" t="inlineStr">
        <is>
          <t>VÄRMLANDS LÄN</t>
        </is>
      </c>
      <c r="E61" t="inlineStr">
        <is>
          <t>FORSHAGA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62936-2019</t>
        </is>
      </c>
      <c r="B62" s="1" t="n">
        <v>43784</v>
      </c>
      <c r="C62" s="1" t="n">
        <v>45875</v>
      </c>
      <c r="D62" t="inlineStr">
        <is>
          <t>VÄRMLANDS LÄN</t>
        </is>
      </c>
      <c r="E62" t="inlineStr">
        <is>
          <t>FORSHAGA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63316-2019</t>
        </is>
      </c>
      <c r="B63" s="1" t="n">
        <v>43794</v>
      </c>
      <c r="C63" s="1" t="n">
        <v>45875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63954-2019</t>
        </is>
      </c>
      <c r="B64" s="1" t="n">
        <v>43796</v>
      </c>
      <c r="C64" s="1" t="n">
        <v>45875</v>
      </c>
      <c r="D64" t="inlineStr">
        <is>
          <t>VÄRMLANDS LÄN</t>
        </is>
      </c>
      <c r="E64" t="inlineStr">
        <is>
          <t>FORSHAGA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66439-2019</t>
        </is>
      </c>
      <c r="B65" s="1" t="n">
        <v>43802</v>
      </c>
      <c r="C65" s="1" t="n">
        <v>45875</v>
      </c>
      <c r="D65" t="inlineStr">
        <is>
          <t>VÄRMLANDS LÄN</t>
        </is>
      </c>
      <c r="E65" t="inlineStr">
        <is>
          <t>FORSHAGA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65158-2019</t>
        </is>
      </c>
      <c r="B66" s="1" t="n">
        <v>43802</v>
      </c>
      <c r="C66" s="1" t="n">
        <v>45875</v>
      </c>
      <c r="D66" t="inlineStr">
        <is>
          <t>VÄRMLANDS LÄN</t>
        </is>
      </c>
      <c r="E66" t="inlineStr">
        <is>
          <t>FORSHAGA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66438-2019</t>
        </is>
      </c>
      <c r="B67" s="1" t="n">
        <v>43802</v>
      </c>
      <c r="C67" s="1" t="n">
        <v>45875</v>
      </c>
      <c r="D67" t="inlineStr">
        <is>
          <t>VÄRMLANDS LÄN</t>
        </is>
      </c>
      <c r="E67" t="inlineStr">
        <is>
          <t>FORSHAGA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65839-2019</t>
        </is>
      </c>
      <c r="B68" s="1" t="n">
        <v>43805</v>
      </c>
      <c r="C68" s="1" t="n">
        <v>45875</v>
      </c>
      <c r="D68" t="inlineStr">
        <is>
          <t>VÄRMLANDS LÄN</t>
        </is>
      </c>
      <c r="E68" t="inlineStr">
        <is>
          <t>FORSHAGA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65856-2019</t>
        </is>
      </c>
      <c r="B69" s="1" t="n">
        <v>43805</v>
      </c>
      <c r="C69" s="1" t="n">
        <v>45875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68344-2019</t>
        </is>
      </c>
      <c r="B70" s="1" t="n">
        <v>43818</v>
      </c>
      <c r="C70" s="1" t="n">
        <v>45875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99-2020</t>
        </is>
      </c>
      <c r="B71" s="1" t="n">
        <v>43832</v>
      </c>
      <c r="C71" s="1" t="n">
        <v>45875</v>
      </c>
      <c r="D71" t="inlineStr">
        <is>
          <t>VÄRMLANDS LÄN</t>
        </is>
      </c>
      <c r="E71" t="inlineStr">
        <is>
          <t>FORSHAGA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677-2020</t>
        </is>
      </c>
      <c r="B72" s="1" t="n">
        <v>43838</v>
      </c>
      <c r="C72" s="1" t="n">
        <v>45875</v>
      </c>
      <c r="D72" t="inlineStr">
        <is>
          <t>VÄRMLANDS LÄN</t>
        </is>
      </c>
      <c r="E72" t="inlineStr">
        <is>
          <t>FORSHAGA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3245-2020</t>
        </is>
      </c>
      <c r="B73" s="1" t="n">
        <v>43852</v>
      </c>
      <c r="C73" s="1" t="n">
        <v>45875</v>
      </c>
      <c r="D73" t="inlineStr">
        <is>
          <t>VÄRMLANDS LÄN</t>
        </is>
      </c>
      <c r="E73" t="inlineStr">
        <is>
          <t>FORSHAGA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10500-2020</t>
        </is>
      </c>
      <c r="B74" s="1" t="n">
        <v>43886</v>
      </c>
      <c r="C74" s="1" t="n">
        <v>45875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10163-2020</t>
        </is>
      </c>
      <c r="B75" s="1" t="n">
        <v>43886</v>
      </c>
      <c r="C75" s="1" t="n">
        <v>45875</v>
      </c>
      <c r="D75" t="inlineStr">
        <is>
          <t>VÄRMLANDS LÄN</t>
        </is>
      </c>
      <c r="E75" t="inlineStr">
        <is>
          <t>FORSHAGA</t>
        </is>
      </c>
      <c r="F75" t="inlineStr">
        <is>
          <t>Bergvik skog väst AB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14943-2020</t>
        </is>
      </c>
      <c r="B76" s="1" t="n">
        <v>43906</v>
      </c>
      <c r="C76" s="1" t="n">
        <v>45875</v>
      </c>
      <c r="D76" t="inlineStr">
        <is>
          <t>VÄRMLANDS LÄN</t>
        </is>
      </c>
      <c r="E76" t="inlineStr">
        <is>
          <t>FORSHAGA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15564-2020</t>
        </is>
      </c>
      <c r="B77" s="1" t="n">
        <v>43907</v>
      </c>
      <c r="C77" s="1" t="n">
        <v>45875</v>
      </c>
      <c r="D77" t="inlineStr">
        <is>
          <t>VÄRMLANDS LÄN</t>
        </is>
      </c>
      <c r="E77" t="inlineStr">
        <is>
          <t>FORSHAGA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14270-2020</t>
        </is>
      </c>
      <c r="B78" s="1" t="n">
        <v>43907</v>
      </c>
      <c r="C78" s="1" t="n">
        <v>45875</v>
      </c>
      <c r="D78" t="inlineStr">
        <is>
          <t>VÄRMLANDS LÄN</t>
        </is>
      </c>
      <c r="E78" t="inlineStr">
        <is>
          <t>FORSHAGA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15536-2020</t>
        </is>
      </c>
      <c r="B79" s="1" t="n">
        <v>43907</v>
      </c>
      <c r="C79" s="1" t="n">
        <v>45875</v>
      </c>
      <c r="D79" t="inlineStr">
        <is>
          <t>VÄRMLANDS LÄN</t>
        </is>
      </c>
      <c r="E79" t="inlineStr">
        <is>
          <t>FORSHAGA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14798-2020</t>
        </is>
      </c>
      <c r="B80" s="1" t="n">
        <v>43909</v>
      </c>
      <c r="C80" s="1" t="n">
        <v>45875</v>
      </c>
      <c r="D80" t="inlineStr">
        <is>
          <t>VÄRMLANDS LÄN</t>
        </is>
      </c>
      <c r="E80" t="inlineStr">
        <is>
          <t>FORSHAGA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16037-2020</t>
        </is>
      </c>
      <c r="B81" s="1" t="n">
        <v>43916</v>
      </c>
      <c r="C81" s="1" t="n">
        <v>45875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16027-2020</t>
        </is>
      </c>
      <c r="B82" s="1" t="n">
        <v>43916</v>
      </c>
      <c r="C82" s="1" t="n">
        <v>45875</v>
      </c>
      <c r="D82" t="inlineStr">
        <is>
          <t>VÄRMLANDS LÄN</t>
        </is>
      </c>
      <c r="E82" t="inlineStr">
        <is>
          <t>FORSHAGA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18025-2020</t>
        </is>
      </c>
      <c r="B83" s="1" t="n">
        <v>43927</v>
      </c>
      <c r="C83" s="1" t="n">
        <v>45875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18263-2020</t>
        </is>
      </c>
      <c r="B84" s="1" t="n">
        <v>43928</v>
      </c>
      <c r="C84" s="1" t="n">
        <v>45875</v>
      </c>
      <c r="D84" t="inlineStr">
        <is>
          <t>VÄRMLANDS LÄN</t>
        </is>
      </c>
      <c r="E84" t="inlineStr">
        <is>
          <t>FORSHAGA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18258-2020</t>
        </is>
      </c>
      <c r="B85" s="1" t="n">
        <v>43928</v>
      </c>
      <c r="C85" s="1" t="n">
        <v>45875</v>
      </c>
      <c r="D85" t="inlineStr">
        <is>
          <t>VÄRMLANDS LÄN</t>
        </is>
      </c>
      <c r="E85" t="inlineStr">
        <is>
          <t>FORSHAGA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24327-2020</t>
        </is>
      </c>
      <c r="B86" s="1" t="n">
        <v>43976</v>
      </c>
      <c r="C86" s="1" t="n">
        <v>45875</v>
      </c>
      <c r="D86" t="inlineStr">
        <is>
          <t>VÄRMLANDS LÄN</t>
        </is>
      </c>
      <c r="E86" t="inlineStr">
        <is>
          <t>FORSHAGA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29465-2020</t>
        </is>
      </c>
      <c r="B87" s="1" t="n">
        <v>44004</v>
      </c>
      <c r="C87" s="1" t="n">
        <v>45875</v>
      </c>
      <c r="D87" t="inlineStr">
        <is>
          <t>VÄRMLANDS LÄN</t>
        </is>
      </c>
      <c r="E87" t="inlineStr">
        <is>
          <t>FORSHAGA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29854-2020</t>
        </is>
      </c>
      <c r="B88" s="1" t="n">
        <v>44005</v>
      </c>
      <c r="C88" s="1" t="n">
        <v>45875</v>
      </c>
      <c r="D88" t="inlineStr">
        <is>
          <t>VÄRMLANDS LÄN</t>
        </is>
      </c>
      <c r="E88" t="inlineStr">
        <is>
          <t>FORSHAGA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33476-2020</t>
        </is>
      </c>
      <c r="B89" s="1" t="n">
        <v>44023</v>
      </c>
      <c r="C89" s="1" t="n">
        <v>45875</v>
      </c>
      <c r="D89" t="inlineStr">
        <is>
          <t>VÄRMLANDS LÄN</t>
        </is>
      </c>
      <c r="E89" t="inlineStr">
        <is>
          <t>FORSHAGA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36699-2020</t>
        </is>
      </c>
      <c r="B90" s="1" t="n">
        <v>44053</v>
      </c>
      <c r="C90" s="1" t="n">
        <v>45875</v>
      </c>
      <c r="D90" t="inlineStr">
        <is>
          <t>VÄRMLANDS LÄN</t>
        </is>
      </c>
      <c r="E90" t="inlineStr">
        <is>
          <t>FORSHAGA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38969-2020</t>
        </is>
      </c>
      <c r="B91" s="1" t="n">
        <v>44062</v>
      </c>
      <c r="C91" s="1" t="n">
        <v>45875</v>
      </c>
      <c r="D91" t="inlineStr">
        <is>
          <t>VÄRMLANDS LÄN</t>
        </is>
      </c>
      <c r="E91" t="inlineStr">
        <is>
          <t>FORSHAGA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39856-2020</t>
        </is>
      </c>
      <c r="B92" s="1" t="n">
        <v>44067</v>
      </c>
      <c r="C92" s="1" t="n">
        <v>45875</v>
      </c>
      <c r="D92" t="inlineStr">
        <is>
          <t>VÄRMLANDS LÄN</t>
        </is>
      </c>
      <c r="E92" t="inlineStr">
        <is>
          <t>FORSHAGA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39985-2020</t>
        </is>
      </c>
      <c r="B93" s="1" t="n">
        <v>44067</v>
      </c>
      <c r="C93" s="1" t="n">
        <v>45875</v>
      </c>
      <c r="D93" t="inlineStr">
        <is>
          <t>VÄRMLANDS LÄN</t>
        </is>
      </c>
      <c r="E93" t="inlineStr">
        <is>
          <t>FORSHAGA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41332-2020</t>
        </is>
      </c>
      <c r="B94" s="1" t="n">
        <v>44071</v>
      </c>
      <c r="C94" s="1" t="n">
        <v>45875</v>
      </c>
      <c r="D94" t="inlineStr">
        <is>
          <t>VÄRMLANDS LÄN</t>
        </is>
      </c>
      <c r="E94" t="inlineStr">
        <is>
          <t>FORSHAGA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42960-2020</t>
        </is>
      </c>
      <c r="B95" s="1" t="n">
        <v>44078</v>
      </c>
      <c r="C95" s="1" t="n">
        <v>45875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42967-2020</t>
        </is>
      </c>
      <c r="B96" s="1" t="n">
        <v>44078</v>
      </c>
      <c r="C96" s="1" t="n">
        <v>45875</v>
      </c>
      <c r="D96" t="inlineStr">
        <is>
          <t>VÄRMLANDS LÄN</t>
        </is>
      </c>
      <c r="E96" t="inlineStr">
        <is>
          <t>FORSHAGA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42993-2020</t>
        </is>
      </c>
      <c r="B97" s="1" t="n">
        <v>44078</v>
      </c>
      <c r="C97" s="1" t="n">
        <v>45875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42910-2020</t>
        </is>
      </c>
      <c r="B98" s="1" t="n">
        <v>44078</v>
      </c>
      <c r="C98" s="1" t="n">
        <v>45875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42970-2020</t>
        </is>
      </c>
      <c r="B99" s="1" t="n">
        <v>44078</v>
      </c>
      <c r="C99" s="1" t="n">
        <v>45875</v>
      </c>
      <c r="D99" t="inlineStr">
        <is>
          <t>VÄRMLANDS LÄN</t>
        </is>
      </c>
      <c r="E99" t="inlineStr">
        <is>
          <t>FORSHAGA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42984-2020</t>
        </is>
      </c>
      <c r="B100" s="1" t="n">
        <v>44078</v>
      </c>
      <c r="C100" s="1" t="n">
        <v>45875</v>
      </c>
      <c r="D100" t="inlineStr">
        <is>
          <t>VÄRMLANDS LÄN</t>
        </is>
      </c>
      <c r="E100" t="inlineStr">
        <is>
          <t>FORSHAGA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42965-2020</t>
        </is>
      </c>
      <c r="B101" s="1" t="n">
        <v>44078</v>
      </c>
      <c r="C101" s="1" t="n">
        <v>45875</v>
      </c>
      <c r="D101" t="inlineStr">
        <is>
          <t>VÄRMLANDS LÄN</t>
        </is>
      </c>
      <c r="E101" t="inlineStr">
        <is>
          <t>FORSHAGA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47042-2020</t>
        </is>
      </c>
      <c r="B102" s="1" t="n">
        <v>44096</v>
      </c>
      <c r="C102" s="1" t="n">
        <v>45875</v>
      </c>
      <c r="D102" t="inlineStr">
        <is>
          <t>VÄRMLANDS LÄN</t>
        </is>
      </c>
      <c r="E102" t="inlineStr">
        <is>
          <t>FORSHAGA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48106-2020</t>
        </is>
      </c>
      <c r="B103" s="1" t="n">
        <v>44101</v>
      </c>
      <c r="C103" s="1" t="n">
        <v>45875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48145-2020</t>
        </is>
      </c>
      <c r="B104" s="1" t="n">
        <v>44102</v>
      </c>
      <c r="C104" s="1" t="n">
        <v>45875</v>
      </c>
      <c r="D104" t="inlineStr">
        <is>
          <t>VÄRMLANDS LÄN</t>
        </is>
      </c>
      <c r="E104" t="inlineStr">
        <is>
          <t>FORSHAGA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48314-2020</t>
        </is>
      </c>
      <c r="B105" s="1" t="n">
        <v>44102</v>
      </c>
      <c r="C105" s="1" t="n">
        <v>45875</v>
      </c>
      <c r="D105" t="inlineStr">
        <is>
          <t>VÄRMLANDS LÄN</t>
        </is>
      </c>
      <c r="E105" t="inlineStr">
        <is>
          <t>FORSHAGA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52758-2020</t>
        </is>
      </c>
      <c r="B106" s="1" t="n">
        <v>44118</v>
      </c>
      <c r="C106" s="1" t="n">
        <v>45875</v>
      </c>
      <c r="D106" t="inlineStr">
        <is>
          <t>VÄRMLANDS LÄN</t>
        </is>
      </c>
      <c r="E106" t="inlineStr">
        <is>
          <t>FORSHAGA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53494-2020</t>
        </is>
      </c>
      <c r="B107" s="1" t="n">
        <v>44123</v>
      </c>
      <c r="C107" s="1" t="n">
        <v>45875</v>
      </c>
      <c r="D107" t="inlineStr">
        <is>
          <t>VÄRMLANDS LÄN</t>
        </is>
      </c>
      <c r="E107" t="inlineStr">
        <is>
          <t>FORSHAGA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45875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45875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45875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45875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45875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45875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45875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45875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45875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45875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45875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45875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45875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45875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45875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45875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45875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45875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45875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45875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45875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45875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45875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45875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45875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45875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45875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45875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45875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45875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45875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45875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45875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45875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45875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45875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45875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45875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45875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45875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45875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45875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45875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45875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45875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45875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45875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45875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45875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45875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45875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45875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45875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45875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45875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45875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45875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45875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45875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45875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45875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45875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45875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45875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45875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45875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45875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45875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45875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45875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45875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45875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45875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45875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45875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45875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45875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45875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45875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45875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45875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45875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45875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45875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45875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45875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45875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45875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45875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45875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45875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45875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45875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45875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45875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45875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45875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45875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45875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45875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45875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45875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45875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45875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45875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45875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45875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45875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45875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45875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45875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45875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45875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45875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45875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45875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45875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45875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45875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45875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45875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45875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45875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45875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45875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45875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45875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45875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45875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45875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45875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45875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45875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45875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45875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45875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45875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45875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45875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45875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45875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45875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45875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45875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45875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45875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45875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45875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45875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45875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45875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45875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45875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45875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45875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45875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45875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45875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45875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45875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45875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45875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45875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45875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45875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45875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45875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45875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45875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45875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45875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45875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45875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45875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45875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45875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45875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45875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45875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45875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45875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45875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45875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45875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45875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45875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45875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45875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45875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45875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45875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45875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45875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45875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45875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45875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45875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45875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45875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45875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45875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45875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45875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45875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45875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45875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45875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45875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45875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45875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45875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45875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45875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45875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45875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45875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45875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45875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45875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45875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45875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45875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45875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45875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45875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45875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45875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45875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45875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45875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45875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45875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45875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45875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45875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45875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45875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45875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45875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45875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45875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45875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45875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45875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45875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45875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45875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45875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45875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45875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45875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45875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45875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45875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45875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45875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45875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45875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45875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45875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45875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45875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45875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45875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45875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45875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45875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45875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45875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45875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45875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45875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45875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45875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45875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45875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45875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45875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45875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45875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45875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45875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45875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45875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45875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45875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45875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45875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45875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45875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45875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45875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45875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45875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45875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45875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45875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45875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45875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45875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45875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45875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45875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45875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45875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45875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45875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45875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45875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45875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45875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45875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45875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45875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45875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45875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45875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45875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45875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45875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45875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45875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45875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45875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45875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45875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45875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45875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45875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45875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45875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45875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45875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45875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45875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45875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45875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45875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45875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45875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45875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45875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45875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45875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45875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45875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45875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45875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45875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45875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45875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45875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45875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45875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45875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45875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45875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45875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45875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45875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45875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45875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45875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45875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45875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45875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45875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45875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45875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45875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45875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45875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45875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45875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45875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45875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45875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45875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45875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45875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45875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45875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45875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45875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45875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45875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45875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45875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45875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45875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45875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45875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45875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45875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45875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45875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45875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45875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45875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45875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45875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45875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45875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45875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45875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45875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45875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45875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45875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45875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45875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45875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45875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45875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45875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45875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45875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45875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45875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45875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45875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45875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45875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45875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45875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45875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45875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45875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45875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45875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45875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45875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45875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45875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45875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45875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45875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45875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45875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45875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45875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45875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45875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45875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45875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45875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45875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45875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45875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45875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45875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45875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45875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45875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45875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45875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45875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45875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45875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45875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45875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45875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45875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45875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45875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45875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31968-2025</t>
        </is>
      </c>
      <c r="B574" s="1" t="n">
        <v>45835</v>
      </c>
      <c r="C574" s="1" t="n">
        <v>45875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36713-2025</t>
        </is>
      </c>
      <c r="B575" s="1" t="n">
        <v>45873</v>
      </c>
      <c r="C575" s="1" t="n">
        <v>45875</v>
      </c>
      <c r="D575" t="inlineStr">
        <is>
          <t>VÄRMLANDS LÄN</t>
        </is>
      </c>
      <c r="E575" t="inlineStr">
        <is>
          <t>FORSHAGA</t>
        </is>
      </c>
      <c r="G575" t="n">
        <v>17.9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2025-08-06T20:00:14Z</dcterms:created>
  <dcterms:modified xmlns:dcterms="http://purl.org/dc/terms/" xmlns:xsi="http://www.w3.org/2001/XMLSchema-instance" xsi:type="dcterms:W3CDTF">2025-08-06T20:00:14Z</dcterms:modified>
</cp:coreProperties>
</file>