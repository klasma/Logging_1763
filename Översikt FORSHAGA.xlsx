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45824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45824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45824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45824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45824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45824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72989-2021</t>
        </is>
      </c>
      <c r="B8" s="1" t="n">
        <v>44549</v>
      </c>
      <c r="C8" s="1" t="n">
        <v>45824</v>
      </c>
      <c r="D8" t="inlineStr">
        <is>
          <t>VÄRMLANDS LÄN</t>
        </is>
      </c>
      <c r="E8" t="inlineStr">
        <is>
          <t>FORSHAGA</t>
        </is>
      </c>
      <c r="G8" t="n">
        <v>3.3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Kungsfiskare
Mindre hackspett
Skogsduva</t>
        </is>
      </c>
      <c r="S8">
        <f>HYPERLINK("https://klasma.github.io/Logging_1763/artfynd/A 72989-2021 artfynd.xlsx", "A 72989-2021")</f>
        <v/>
      </c>
      <c r="T8">
        <f>HYPERLINK("https://klasma.github.io/Logging_1763/kartor/A 72989-2021 karta.png", "A 72989-2021")</f>
        <v/>
      </c>
      <c r="V8">
        <f>HYPERLINK("https://klasma.github.io/Logging_1763/klagomål/A 72989-2021 FSC-klagomål.docx", "A 72989-2021")</f>
        <v/>
      </c>
      <c r="W8">
        <f>HYPERLINK("https://klasma.github.io/Logging_1763/klagomålsmail/A 72989-2021 FSC-klagomål mail.docx", "A 72989-2021")</f>
        <v/>
      </c>
      <c r="X8">
        <f>HYPERLINK("https://klasma.github.io/Logging_1763/tillsyn/A 72989-2021 tillsynsbegäran.docx", "A 72989-2021")</f>
        <v/>
      </c>
      <c r="Y8">
        <f>HYPERLINK("https://klasma.github.io/Logging_1763/tillsynsmail/A 72989-2021 tillsynsbegäran mail.docx", "A 72989-2021")</f>
        <v/>
      </c>
      <c r="Z8">
        <f>HYPERLINK("https://klasma.github.io/Logging_1763/fåglar/A 72989-2021 prioriterade fågelarter.docx", "A 72989-2021")</f>
        <v/>
      </c>
    </row>
    <row r="9" ht="15" customHeight="1">
      <c r="A9" t="inlineStr">
        <is>
          <t>A 3713-2024</t>
        </is>
      </c>
      <c r="B9" s="1" t="n">
        <v>45321</v>
      </c>
      <c r="C9" s="1" t="n">
        <v>45824</v>
      </c>
      <c r="D9" t="inlineStr">
        <is>
          <t>VÄRMLANDS LÄN</t>
        </is>
      </c>
      <c r="E9" t="inlineStr">
        <is>
          <t>FORSHAGA</t>
        </is>
      </c>
      <c r="G9" t="n">
        <v>6.1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Åkergroda
Mindre vattensalamander
Vanlig padda</t>
        </is>
      </c>
      <c r="S9">
        <f>HYPERLINK("https://klasma.github.io/Logging_1763/artfynd/A 3713-2024 artfynd.xlsx", "A 3713-2024")</f>
        <v/>
      </c>
      <c r="T9">
        <f>HYPERLINK("https://klasma.github.io/Logging_1763/kartor/A 3713-2024 karta.png", "A 3713-2024")</f>
        <v/>
      </c>
      <c r="V9">
        <f>HYPERLINK("https://klasma.github.io/Logging_1763/klagomål/A 3713-2024 FSC-klagomål.docx", "A 3713-2024")</f>
        <v/>
      </c>
      <c r="W9">
        <f>HYPERLINK("https://klasma.github.io/Logging_1763/klagomålsmail/A 3713-2024 FSC-klagomål mail.docx", "A 3713-2024")</f>
        <v/>
      </c>
      <c r="X9">
        <f>HYPERLINK("https://klasma.github.io/Logging_1763/tillsyn/A 3713-2024 tillsynsbegäran.docx", "A 3713-2024")</f>
        <v/>
      </c>
      <c r="Y9">
        <f>HYPERLINK("https://klasma.github.io/Logging_1763/tillsynsmail/A 3713-2024 tillsynsbegäran mail.docx", "A 3713-2024")</f>
        <v/>
      </c>
    </row>
    <row r="10" ht="15" customHeight="1">
      <c r="A10" t="inlineStr">
        <is>
          <t>A 51072-2021</t>
        </is>
      </c>
      <c r="B10" s="1" t="n">
        <v>44461</v>
      </c>
      <c r="C10" s="1" t="n">
        <v>45824</v>
      </c>
      <c r="D10" t="inlineStr">
        <is>
          <t>VÄRMLANDS LÄN</t>
        </is>
      </c>
      <c r="E10" t="inlineStr">
        <is>
          <t>FORSHAGA</t>
        </is>
      </c>
      <c r="G10" t="n">
        <v>19.6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 gräsfjäril
Violettkantad guldvinge</t>
        </is>
      </c>
      <c r="S10">
        <f>HYPERLINK("https://klasma.github.io/Logging_1763/artfynd/A 51072-2021 artfynd.xlsx", "A 51072-2021")</f>
        <v/>
      </c>
      <c r="T10">
        <f>HYPERLINK("https://klasma.github.io/Logging_1763/kartor/A 51072-2021 karta.png", "A 51072-2021")</f>
        <v/>
      </c>
      <c r="V10">
        <f>HYPERLINK("https://klasma.github.io/Logging_1763/klagomål/A 51072-2021 FSC-klagomål.docx", "A 51072-2021")</f>
        <v/>
      </c>
      <c r="W10">
        <f>HYPERLINK("https://klasma.github.io/Logging_1763/klagomålsmail/A 51072-2021 FSC-klagomål mail.docx", "A 51072-2021")</f>
        <v/>
      </c>
      <c r="X10">
        <f>HYPERLINK("https://klasma.github.io/Logging_1763/tillsyn/A 51072-2021 tillsynsbegäran.docx", "A 51072-2021")</f>
        <v/>
      </c>
      <c r="Y10">
        <f>HYPERLINK("https://klasma.github.io/Logging_1763/tillsynsmail/A 51072-2021 tillsynsbegäran mail.docx", "A 51072-2021")</f>
        <v/>
      </c>
    </row>
    <row r="11" ht="15" customHeight="1">
      <c r="A11" t="inlineStr">
        <is>
          <t>A 66072-2021</t>
        </is>
      </c>
      <c r="B11" s="1" t="n">
        <v>44517</v>
      </c>
      <c r="C11" s="1" t="n">
        <v>45824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HYPERLINK("https://klasma.github.io/Logging_1763/artfynd/A 66072-2021 artfynd.xlsx", "A 66072-2021")</f>
        <v/>
      </c>
      <c r="T11">
        <f>HYPERLINK("https://klasma.github.io/Logging_1763/kartor/A 66072-2021 karta.png", "A 66072-2021")</f>
        <v/>
      </c>
      <c r="V11">
        <f>HYPERLINK("https://klasma.github.io/Logging_1763/klagomål/A 66072-2021 FSC-klagomål.docx", "A 66072-2021")</f>
        <v/>
      </c>
      <c r="W11">
        <f>HYPERLINK("https://klasma.github.io/Logging_1763/klagomålsmail/A 66072-2021 FSC-klagomål mail.docx", "A 66072-2021")</f>
        <v/>
      </c>
      <c r="X11">
        <f>HYPERLINK("https://klasma.github.io/Logging_1763/tillsyn/A 66072-2021 tillsynsbegäran.docx", "A 66072-2021")</f>
        <v/>
      </c>
      <c r="Y11">
        <f>HYPERLINK("https://klasma.github.io/Logging_1763/tillsynsmail/A 66072-2021 tillsynsbegäran mail.docx", "A 66072-2021")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45824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45824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45824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45824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45824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45824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45824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45824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45824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45824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45824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45824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45824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45824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45824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45824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45824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45824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45824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45824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45824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45824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45824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45824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45824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45824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45824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45824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45824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45824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45824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45824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45824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45824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45824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45824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45824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45824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45824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45824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45824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45824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45824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45824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45824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45824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45824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45824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45824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45824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45824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45824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45824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45824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45824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45824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45824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45824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45824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45824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45824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45824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45824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45824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45824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45824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45824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45824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45824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45824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45824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45824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45824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45824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45824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45824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45824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45824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45824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45824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45824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45824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45824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45824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45824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45824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45824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45824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45824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45824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45824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45824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45824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45824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45824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45824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45824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45824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45824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45824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45824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45824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45824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45824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45824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45824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45824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45824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45824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45824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45824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45824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45824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45824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45824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45824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45824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45824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45824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45824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45824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45824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45824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45824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45824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45824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45824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45824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45824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45824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45824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45824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45824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45824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45824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45824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45824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45824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45824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45824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45824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45824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45824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45824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45824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45824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45824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45824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45824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45824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45824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45824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45824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45824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45824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45824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45824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45824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45824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45824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45824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45824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45824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45824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45824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45824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45824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45824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45824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45824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45824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45824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45824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45824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45824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45824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45824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45824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45824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45824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45824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45824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45824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45824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45824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45824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45824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45824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45824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45824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45824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45824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45824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45824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45824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45824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45824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45824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45824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45824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45824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45824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45824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45824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45824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45824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45824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45824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45824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45824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45824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45824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45824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45824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45824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45824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45824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45824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45824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45824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45824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45824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45824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45824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45824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45824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45824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45824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45824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45824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45824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45824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45824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45824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45824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45824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45824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45824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45824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45824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45824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45824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45824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45824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45824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45824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45824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45824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45824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45824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45824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45824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45824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45824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45824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45824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45824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45824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45824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45824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45824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45824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45824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45824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45824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45824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45824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45824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45824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45824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45824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45824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45824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45824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45824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45824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45824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45824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45824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45824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45824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45824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45824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45824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45824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45824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45824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45824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45824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45824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45824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45824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45824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45824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45824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45824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45824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45824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45824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45824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45824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45824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45824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45824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45824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45824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45824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45824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45824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45824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45824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45824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45824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45824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45824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45824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45824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45824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45824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45824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45824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45824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45824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45824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45824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45824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45824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45824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45824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45824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45824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45824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45824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45824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45824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45824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45824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45824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45824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45824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45824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45824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45824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45824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45824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45824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45824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45824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45824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45824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45824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45824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45824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45824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45824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45824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45824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45824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45824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45824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45824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45824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45824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45824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45824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45824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45824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45824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45824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45824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45824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45824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45824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45824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45824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45824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45824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45824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45824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45824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45824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45824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45824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45824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45824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45824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45824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45824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45824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45824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45824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45824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45824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45824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45824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45824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45824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45824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45824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45824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45824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45824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45824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45824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45824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45824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45824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45824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45824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45824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45824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45824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45824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45824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45824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45824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45824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45824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45824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45824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45824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45824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45824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45824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45824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45824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45824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45824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45824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45824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45824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45824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45824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45824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45824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45824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45824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45824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45824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45824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45824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45824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45824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45824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45824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45824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45824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45824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45824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45824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45824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45824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45824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45824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45824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45824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45824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45824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45824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45824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45824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45824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45824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45824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45824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45824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45824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45824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45824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45824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45824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45824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45824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45824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45824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45824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45824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45824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45824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45824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45824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45824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45824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45824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45824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45824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45824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45824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45824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45824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45824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45824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45824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45824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45824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45824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45824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45824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45824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45824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45824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45824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45824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45824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45824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45824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45824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45824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45824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45824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45824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45824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45824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45824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45824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45824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45824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45824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45824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45824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45824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45824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45824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45824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45824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45824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45824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45824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45824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45824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45824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45824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45824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45824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45824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45824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45824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45824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17135-2025</t>
        </is>
      </c>
      <c r="B550" s="1" t="n">
        <v>45755</v>
      </c>
      <c r="C550" s="1" t="n">
        <v>45824</v>
      </c>
      <c r="D550" t="inlineStr">
        <is>
          <t>VÄRMLANDS LÄN</t>
        </is>
      </c>
      <c r="E550" t="inlineStr">
        <is>
          <t>FORSHAGA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16885-2025</t>
        </is>
      </c>
      <c r="B551" s="1" t="n">
        <v>45755</v>
      </c>
      <c r="C551" s="1" t="n">
        <v>45824</v>
      </c>
      <c r="D551" t="inlineStr">
        <is>
          <t>VÄRMLANDS LÄN</t>
        </is>
      </c>
      <c r="E551" t="inlineStr">
        <is>
          <t>FORSHAGA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45824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45824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45824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45824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19069-2025</t>
        </is>
      </c>
      <c r="B556" s="1" t="n">
        <v>45765</v>
      </c>
      <c r="C556" s="1" t="n">
        <v>45824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21836-2025</t>
        </is>
      </c>
      <c r="B557" s="1" t="n">
        <v>45784</v>
      </c>
      <c r="C557" s="1" t="n">
        <v>45824</v>
      </c>
      <c r="D557" t="inlineStr">
        <is>
          <t>VÄRMLANDS LÄN</t>
        </is>
      </c>
      <c r="E557" t="inlineStr">
        <is>
          <t>FORSHAGA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22586-2025</t>
        </is>
      </c>
      <c r="B558" s="1" t="n">
        <v>45789</v>
      </c>
      <c r="C558" s="1" t="n">
        <v>45824</v>
      </c>
      <c r="D558" t="inlineStr">
        <is>
          <t>VÄRMLANDS LÄN</t>
        </is>
      </c>
      <c r="E558" t="inlineStr">
        <is>
          <t>FORSHAGA</t>
        </is>
      </c>
      <c r="F558" t="inlineStr">
        <is>
          <t>Bergvik skog väst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22614-2025</t>
        </is>
      </c>
      <c r="B559" s="1" t="n">
        <v>45789</v>
      </c>
      <c r="C559" s="1" t="n">
        <v>45824</v>
      </c>
      <c r="D559" t="inlineStr">
        <is>
          <t>VÄRMLANDS LÄN</t>
        </is>
      </c>
      <c r="E559" t="inlineStr">
        <is>
          <t>FORSHAGA</t>
        </is>
      </c>
      <c r="F559" t="inlineStr">
        <is>
          <t>Bergvik skog väst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22623-2025</t>
        </is>
      </c>
      <c r="B560" s="1" t="n">
        <v>45789</v>
      </c>
      <c r="C560" s="1" t="n">
        <v>45824</v>
      </c>
      <c r="D560" t="inlineStr">
        <is>
          <t>VÄRMLANDS LÄN</t>
        </is>
      </c>
      <c r="E560" t="inlineStr">
        <is>
          <t>FORSHAGA</t>
        </is>
      </c>
      <c r="F560" t="inlineStr">
        <is>
          <t>Bergvik skog väst AB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22628-2025</t>
        </is>
      </c>
      <c r="B561" s="1" t="n">
        <v>45789</v>
      </c>
      <c r="C561" s="1" t="n">
        <v>45824</v>
      </c>
      <c r="D561" t="inlineStr">
        <is>
          <t>VÄRMLANDS LÄN</t>
        </is>
      </c>
      <c r="E561" t="inlineStr">
        <is>
          <t>FORSHAGA</t>
        </is>
      </c>
      <c r="F561" t="inlineStr">
        <is>
          <t>Bergvik skog väst AB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22609-2025</t>
        </is>
      </c>
      <c r="B562" s="1" t="n">
        <v>45789</v>
      </c>
      <c r="C562" s="1" t="n">
        <v>45824</v>
      </c>
      <c r="D562" t="inlineStr">
        <is>
          <t>VÄRMLANDS LÄN</t>
        </is>
      </c>
      <c r="E562" t="inlineStr">
        <is>
          <t>FORSHAGA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22619-2025</t>
        </is>
      </c>
      <c r="B563" s="1" t="n">
        <v>45789</v>
      </c>
      <c r="C563" s="1" t="n">
        <v>45824</v>
      </c>
      <c r="D563" t="inlineStr">
        <is>
          <t>VÄRMLANDS LÄN</t>
        </is>
      </c>
      <c r="E563" t="inlineStr">
        <is>
          <t>FORSHAGA</t>
        </is>
      </c>
      <c r="F563" t="inlineStr">
        <is>
          <t>Bergvik skog väst AB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22742-2025</t>
        </is>
      </c>
      <c r="B564" s="1" t="n">
        <v>45789</v>
      </c>
      <c r="C564" s="1" t="n">
        <v>45824</v>
      </c>
      <c r="D564" t="inlineStr">
        <is>
          <t>VÄRMLANDS LÄN</t>
        </is>
      </c>
      <c r="E564" t="inlineStr">
        <is>
          <t>FORSHAGA</t>
        </is>
      </c>
      <c r="F564" t="inlineStr">
        <is>
          <t>Bergvik skog väst AB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23733-2025</t>
        </is>
      </c>
      <c r="B565" s="1" t="n">
        <v>45793</v>
      </c>
      <c r="C565" s="1" t="n">
        <v>45824</v>
      </c>
      <c r="D565" t="inlineStr">
        <is>
          <t>VÄRMLANDS LÄN</t>
        </is>
      </c>
      <c r="E565" t="inlineStr">
        <is>
          <t>FORSHAGA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25462-2025</t>
        </is>
      </c>
      <c r="B566" s="1" t="n">
        <v>45802</v>
      </c>
      <c r="C566" s="1" t="n">
        <v>45824</v>
      </c>
      <c r="D566" t="inlineStr">
        <is>
          <t>VÄRMLANDS LÄN</t>
        </is>
      </c>
      <c r="E566" t="inlineStr">
        <is>
          <t>FORSHAGA</t>
        </is>
      </c>
      <c r="F566" t="inlineStr">
        <is>
          <t>Bergvik skog väst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26593-2025</t>
        </is>
      </c>
      <c r="B567" s="1" t="n">
        <v>45808</v>
      </c>
      <c r="C567" s="1" t="n">
        <v>45824</v>
      </c>
      <c r="D567" t="inlineStr">
        <is>
          <t>VÄRMLANDS LÄN</t>
        </is>
      </c>
      <c r="E567" t="inlineStr">
        <is>
          <t>FORSHAGA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27346-2025</t>
        </is>
      </c>
      <c r="B568" s="1" t="n">
        <v>45812</v>
      </c>
      <c r="C568" s="1" t="n">
        <v>45824</v>
      </c>
      <c r="D568" t="inlineStr">
        <is>
          <t>VÄRMLANDS LÄN</t>
        </is>
      </c>
      <c r="E568" t="inlineStr">
        <is>
          <t>FORSHAGA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27353-2025</t>
        </is>
      </c>
      <c r="B569" s="1" t="n">
        <v>45812</v>
      </c>
      <c r="C569" s="1" t="n">
        <v>45824</v>
      </c>
      <c r="D569" t="inlineStr">
        <is>
          <t>VÄRMLANDS LÄN</t>
        </is>
      </c>
      <c r="E569" t="inlineStr">
        <is>
          <t>FORSHAGA</t>
        </is>
      </c>
      <c r="F569" t="inlineStr">
        <is>
          <t>Bergvik skog väst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27351-2025</t>
        </is>
      </c>
      <c r="B570" s="1" t="n">
        <v>45812</v>
      </c>
      <c r="C570" s="1" t="n">
        <v>45824</v>
      </c>
      <c r="D570" t="inlineStr">
        <is>
          <t>VÄRMLANDS LÄN</t>
        </is>
      </c>
      <c r="E570" t="inlineStr">
        <is>
          <t>FORSHAGA</t>
        </is>
      </c>
      <c r="F570" t="inlineStr">
        <is>
          <t>Bergvik skog väst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29188-2025</t>
        </is>
      </c>
      <c r="B571" s="1" t="n">
        <v>45821</v>
      </c>
      <c r="C571" s="1" t="n">
        <v>45824</v>
      </c>
      <c r="D571" t="inlineStr">
        <is>
          <t>VÄRMLANDS LÄN</t>
        </is>
      </c>
      <c r="E571" t="inlineStr">
        <is>
          <t>FORSHAGA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2025-06-16T18:54:38Z</dcterms:created>
  <dcterms:modified xmlns:dcterms="http://purl.org/dc/terms/" xmlns:xsi="http://www.w3.org/2001/XMLSchema-instance" xsi:type="dcterms:W3CDTF">2025-06-16T18:54:38Z</dcterms:modified>
</cp:coreProperties>
</file>