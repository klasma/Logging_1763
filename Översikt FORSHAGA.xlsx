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46109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46109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12854-2026</t>
        </is>
      </c>
      <c r="B10" s="1" t="n">
        <v>46092.47638888889</v>
      </c>
      <c r="C10" s="1" t="n">
        <v>46109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12.1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HYPERLINK("https://klasma.github.io/Logging_1763/artfynd/A 12854-2026 artfynd.xlsx", "A 12854-2026")</f>
        <v/>
      </c>
      <c r="T10">
        <f>HYPERLINK("https://klasma.github.io/Logging_1763/kartor/A 12854-2026 karta.png", "A 12854-2026")</f>
        <v/>
      </c>
      <c r="V10">
        <f>HYPERLINK("https://klasma.github.io/Logging_1763/klagomål/A 12854-2026 FSC-klagomål.docx", "A 12854-2026")</f>
        <v/>
      </c>
      <c r="W10">
        <f>HYPERLINK("https://klasma.github.io/Logging_1763/klagomålsmail/A 12854-2026 FSC-klagomål mail.docx", "A 12854-2026")</f>
        <v/>
      </c>
      <c r="X10">
        <f>HYPERLINK("https://klasma.github.io/Logging_1763/tillsyn/A 12854-2026 tillsynsbegäran.docx", "A 12854-2026")</f>
        <v/>
      </c>
      <c r="Y10">
        <f>HYPERLINK("https://klasma.github.io/Logging_1763/tillsynsmail/A 12854-2026 tillsynsbegäran mail.docx", "A 12854-2026")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46109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46109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46109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46109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46109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46109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46109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46109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46109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46109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46109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46109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46109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46109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46109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46109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46109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46109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46109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46109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46109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46109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46109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46109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46109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46109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46109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46109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46109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46109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46109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46109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46109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46109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46109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46109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46109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46109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46109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26037-2023</t>
        </is>
      </c>
      <c r="B58" s="1" t="n">
        <v>45091</v>
      </c>
      <c r="C58" s="1" t="n">
        <v>46109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46109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46109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46109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46109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22295-2021</t>
        </is>
      </c>
      <c r="B63" s="1" t="n">
        <v>44326.45363425926</v>
      </c>
      <c r="C63" s="1" t="n">
        <v>46109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55421-2025</t>
        </is>
      </c>
      <c r="B64" s="1" t="n">
        <v>45971</v>
      </c>
      <c r="C64" s="1" t="n">
        <v>46109</v>
      </c>
      <c r="D64" t="inlineStr">
        <is>
          <t>VÄRMLANDS LÄN</t>
        </is>
      </c>
      <c r="E64" t="inlineStr">
        <is>
          <t>FORSHAGA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55425-2025</t>
        </is>
      </c>
      <c r="B65" s="1" t="n">
        <v>45971</v>
      </c>
      <c r="C65" s="1" t="n">
        <v>46109</v>
      </c>
      <c r="D65" t="inlineStr">
        <is>
          <t>VÄRMLANDS LÄN</t>
        </is>
      </c>
      <c r="E65" t="inlineStr">
        <is>
          <t>FORSHAGA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55437-2025</t>
        </is>
      </c>
      <c r="B66" s="1" t="n">
        <v>45971</v>
      </c>
      <c r="C66" s="1" t="n">
        <v>46109</v>
      </c>
      <c r="D66" t="inlineStr">
        <is>
          <t>VÄRMLANDS LÄN</t>
        </is>
      </c>
      <c r="E66" t="inlineStr">
        <is>
          <t>FORSHAGA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56748-2022</t>
        </is>
      </c>
      <c r="B67" s="1" t="n">
        <v>44894</v>
      </c>
      <c r="C67" s="1" t="n">
        <v>46109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55440-2025</t>
        </is>
      </c>
      <c r="B68" s="1" t="n">
        <v>45971</v>
      </c>
      <c r="C68" s="1" t="n">
        <v>46109</v>
      </c>
      <c r="D68" t="inlineStr">
        <is>
          <t>VÄRMLANDS LÄN</t>
        </is>
      </c>
      <c r="E68" t="inlineStr">
        <is>
          <t>FORSHAGA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55417-2025</t>
        </is>
      </c>
      <c r="B69" s="1" t="n">
        <v>45971</v>
      </c>
      <c r="C69" s="1" t="n">
        <v>46109</v>
      </c>
      <c r="D69" t="inlineStr">
        <is>
          <t>VÄRMLANDS LÄN</t>
        </is>
      </c>
      <c r="E69" t="inlineStr">
        <is>
          <t>FORSHAGA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55433-2025</t>
        </is>
      </c>
      <c r="B70" s="1" t="n">
        <v>45971</v>
      </c>
      <c r="C70" s="1" t="n">
        <v>46109</v>
      </c>
      <c r="D70" t="inlineStr">
        <is>
          <t>VÄRMLANDS LÄN</t>
        </is>
      </c>
      <c r="E70" t="inlineStr">
        <is>
          <t>FORSHAGA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46109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46109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22407-2024</t>
        </is>
      </c>
      <c r="B73" s="1" t="n">
        <v>45446</v>
      </c>
      <c r="C73" s="1" t="n">
        <v>46109</v>
      </c>
      <c r="D73" t="inlineStr">
        <is>
          <t>VÄRMLANDS LÄN</t>
        </is>
      </c>
      <c r="E73" t="inlineStr">
        <is>
          <t>FORSHAGA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22614-2025</t>
        </is>
      </c>
      <c r="B74" s="1" t="n">
        <v>45789</v>
      </c>
      <c r="C74" s="1" t="n">
        <v>46109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22619-2025</t>
        </is>
      </c>
      <c r="B75" s="1" t="n">
        <v>45789</v>
      </c>
      <c r="C75" s="1" t="n">
        <v>46109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25094-2024</t>
        </is>
      </c>
      <c r="B76" s="1" t="n">
        <v>45462</v>
      </c>
      <c r="C76" s="1" t="n">
        <v>46109</v>
      </c>
      <c r="D76" t="inlineStr">
        <is>
          <t>VÄRMLANDS LÄN</t>
        </is>
      </c>
      <c r="E76" t="inlineStr">
        <is>
          <t>FORSHAGA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46109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46109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59090-2025</t>
        </is>
      </c>
      <c r="B79" s="1" t="n">
        <v>45988.44700231482</v>
      </c>
      <c r="C79" s="1" t="n">
        <v>46109</v>
      </c>
      <c r="D79" t="inlineStr">
        <is>
          <t>VÄRMLANDS LÄN</t>
        </is>
      </c>
      <c r="E79" t="inlineStr">
        <is>
          <t>FORSHAGA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28242-2024</t>
        </is>
      </c>
      <c r="B80" s="1" t="n">
        <v>45477</v>
      </c>
      <c r="C80" s="1" t="n">
        <v>46109</v>
      </c>
      <c r="D80" t="inlineStr">
        <is>
          <t>VÄRMLANDS LÄN</t>
        </is>
      </c>
      <c r="E80" t="inlineStr">
        <is>
          <t>FORSHAGA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58905-2025</t>
        </is>
      </c>
      <c r="B81" s="1" t="n">
        <v>45987.51020833333</v>
      </c>
      <c r="C81" s="1" t="n">
        <v>46109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58915-2025</t>
        </is>
      </c>
      <c r="B82" s="1" t="n">
        <v>45987.52658564815</v>
      </c>
      <c r="C82" s="1" t="n">
        <v>46109</v>
      </c>
      <c r="D82" t="inlineStr">
        <is>
          <t>VÄRMLANDS LÄN</t>
        </is>
      </c>
      <c r="E82" t="inlineStr">
        <is>
          <t>FORSHAGA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46109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35573-2023</t>
        </is>
      </c>
      <c r="B84" s="1" t="n">
        <v>45147</v>
      </c>
      <c r="C84" s="1" t="n">
        <v>46109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46109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63318-2023</t>
        </is>
      </c>
      <c r="B86" s="1" t="n">
        <v>45274</v>
      </c>
      <c r="C86" s="1" t="n">
        <v>46109</v>
      </c>
      <c r="D86" t="inlineStr">
        <is>
          <t>VÄRMLANDS LÄN</t>
        </is>
      </c>
      <c r="E86" t="inlineStr">
        <is>
          <t>FORSHAGA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67321-2021</t>
        </is>
      </c>
      <c r="B87" s="1" t="n">
        <v>44523</v>
      </c>
      <c r="C87" s="1" t="n">
        <v>46109</v>
      </c>
      <c r="D87" t="inlineStr">
        <is>
          <t>VÄRMLANDS LÄN</t>
        </is>
      </c>
      <c r="E87" t="inlineStr">
        <is>
          <t>FORSHAGA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59298-2025</t>
        </is>
      </c>
      <c r="B88" s="1" t="n">
        <v>45988.80296296296</v>
      </c>
      <c r="C88" s="1" t="n">
        <v>46109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27995-2024</t>
        </is>
      </c>
      <c r="B89" s="1" t="n">
        <v>45476</v>
      </c>
      <c r="C89" s="1" t="n">
        <v>46109</v>
      </c>
      <c r="D89" t="inlineStr">
        <is>
          <t>VÄRMLANDS LÄN</t>
        </is>
      </c>
      <c r="E89" t="inlineStr">
        <is>
          <t>FORSHAGA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46109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46109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70214-2021</t>
        </is>
      </c>
      <c r="B92" s="1" t="n">
        <v>44535</v>
      </c>
      <c r="C92" s="1" t="n">
        <v>46109</v>
      </c>
      <c r="D92" t="inlineStr">
        <is>
          <t>VÄRMLANDS LÄN</t>
        </is>
      </c>
      <c r="E92" t="inlineStr">
        <is>
          <t>FORSHAGA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46109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29427-2024</t>
        </is>
      </c>
      <c r="B94" s="1" t="n">
        <v>45483.72967592593</v>
      </c>
      <c r="C94" s="1" t="n">
        <v>46109</v>
      </c>
      <c r="D94" t="inlineStr">
        <is>
          <t>VÄRMLANDS LÄN</t>
        </is>
      </c>
      <c r="E94" t="inlineStr">
        <is>
          <t>FORSHAGA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59919-2025</t>
        </is>
      </c>
      <c r="B95" s="1" t="n">
        <v>45993.37708333333</v>
      </c>
      <c r="C95" s="1" t="n">
        <v>46109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59955-2025</t>
        </is>
      </c>
      <c r="B96" s="1" t="n">
        <v>45993.46239583333</v>
      </c>
      <c r="C96" s="1" t="n">
        <v>46109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8952-2024</t>
        </is>
      </c>
      <c r="B97" s="1" t="n">
        <v>45355</v>
      </c>
      <c r="C97" s="1" t="n">
        <v>46109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46109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40595-2025</t>
        </is>
      </c>
      <c r="B99" s="1" t="n">
        <v>45896.54966435185</v>
      </c>
      <c r="C99" s="1" t="n">
        <v>46109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30853-2025</t>
        </is>
      </c>
      <c r="B100" s="1" t="n">
        <v>45831</v>
      </c>
      <c r="C100" s="1" t="n">
        <v>46109</v>
      </c>
      <c r="D100" t="inlineStr">
        <is>
          <t>VÄRMLANDS LÄN</t>
        </is>
      </c>
      <c r="E100" t="inlineStr">
        <is>
          <t>FORSHAGA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23733-2025</t>
        </is>
      </c>
      <c r="B101" s="1" t="n">
        <v>45793</v>
      </c>
      <c r="C101" s="1" t="n">
        <v>46109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34849-2024</t>
        </is>
      </c>
      <c r="B102" s="1" t="n">
        <v>45527</v>
      </c>
      <c r="C102" s="1" t="n">
        <v>46109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60850-2025</t>
        </is>
      </c>
      <c r="B103" s="1" t="n">
        <v>45999.50127314815</v>
      </c>
      <c r="C103" s="1" t="n">
        <v>46109</v>
      </c>
      <c r="D103" t="inlineStr">
        <is>
          <t>VÄRMLANDS LÄN</t>
        </is>
      </c>
      <c r="E103" t="inlineStr">
        <is>
          <t>FORSHAGA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15553-2022</t>
        </is>
      </c>
      <c r="B104" s="1" t="n">
        <v>44662</v>
      </c>
      <c r="C104" s="1" t="n">
        <v>46109</v>
      </c>
      <c r="D104" t="inlineStr">
        <is>
          <t>VÄRMLANDS LÄN</t>
        </is>
      </c>
      <c r="E104" t="inlineStr">
        <is>
          <t>FORSHAGA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60893-2025</t>
        </is>
      </c>
      <c r="B105" s="1" t="n">
        <v>45999.57299768519</v>
      </c>
      <c r="C105" s="1" t="n">
        <v>46109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40744-2025</t>
        </is>
      </c>
      <c r="B106" s="1" t="n">
        <v>45897</v>
      </c>
      <c r="C106" s="1" t="n">
        <v>46109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35855-2023</t>
        </is>
      </c>
      <c r="B107" s="1" t="n">
        <v>45148</v>
      </c>
      <c r="C107" s="1" t="n">
        <v>46109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25462-2025</t>
        </is>
      </c>
      <c r="B108" s="1" t="n">
        <v>45802.44046296296</v>
      </c>
      <c r="C108" s="1" t="n">
        <v>46109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13198-2024</t>
        </is>
      </c>
      <c r="B109" s="1" t="n">
        <v>45386.48452546296</v>
      </c>
      <c r="C109" s="1" t="n">
        <v>46109</v>
      </c>
      <c r="D109" t="inlineStr">
        <is>
          <t>VÄRMLANDS LÄN</t>
        </is>
      </c>
      <c r="E109" t="inlineStr">
        <is>
          <t>FORSHAGA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61896-2025</t>
        </is>
      </c>
      <c r="B110" s="1" t="n">
        <v>46003.46021990741</v>
      </c>
      <c r="C110" s="1" t="n">
        <v>46109</v>
      </c>
      <c r="D110" t="inlineStr">
        <is>
          <t>VÄRMLANDS LÄN</t>
        </is>
      </c>
      <c r="E110" t="inlineStr">
        <is>
          <t>FORSHAGA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10960-2023</t>
        </is>
      </c>
      <c r="B111" s="1" t="n">
        <v>44991.57304398148</v>
      </c>
      <c r="C111" s="1" t="n">
        <v>46109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42441-2025</t>
        </is>
      </c>
      <c r="B112" s="1" t="n">
        <v>45905</v>
      </c>
      <c r="C112" s="1" t="n">
        <v>46109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46109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46109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62922-2023</t>
        </is>
      </c>
      <c r="B115" s="1" t="n">
        <v>45272</v>
      </c>
      <c r="C115" s="1" t="n">
        <v>46109</v>
      </c>
      <c r="D115" t="inlineStr">
        <is>
          <t>VÄRMLANDS LÄN</t>
        </is>
      </c>
      <c r="E115" t="inlineStr">
        <is>
          <t>FORSHAGA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34886-2024</t>
        </is>
      </c>
      <c r="B116" s="1" t="n">
        <v>45527</v>
      </c>
      <c r="C116" s="1" t="n">
        <v>46109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46109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42572-2025</t>
        </is>
      </c>
      <c r="B118" s="1" t="n">
        <v>45905</v>
      </c>
      <c r="C118" s="1" t="n">
        <v>46109</v>
      </c>
      <c r="D118" t="inlineStr">
        <is>
          <t>VÄRMLANDS LÄN</t>
        </is>
      </c>
      <c r="E118" t="inlineStr">
        <is>
          <t>FORSHAGA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21745-2024</t>
        </is>
      </c>
      <c r="B119" s="1" t="n">
        <v>45442</v>
      </c>
      <c r="C119" s="1" t="n">
        <v>46109</v>
      </c>
      <c r="D119" t="inlineStr">
        <is>
          <t>VÄRMLANDS LÄN</t>
        </is>
      </c>
      <c r="E119" t="inlineStr">
        <is>
          <t>FORSHAGA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53706-2022</t>
        </is>
      </c>
      <c r="B120" s="1" t="n">
        <v>44880</v>
      </c>
      <c r="C120" s="1" t="n">
        <v>46109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22362-2024</t>
        </is>
      </c>
      <c r="B121" s="1" t="n">
        <v>45446.63490740741</v>
      </c>
      <c r="C121" s="1" t="n">
        <v>46109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46109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46109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46109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42573-2025</t>
        </is>
      </c>
      <c r="B125" s="1" t="n">
        <v>45905</v>
      </c>
      <c r="C125" s="1" t="n">
        <v>46109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20244-2023</t>
        </is>
      </c>
      <c r="B126" s="1" t="n">
        <v>45055</v>
      </c>
      <c r="C126" s="1" t="n">
        <v>46109</v>
      </c>
      <c r="D126" t="inlineStr">
        <is>
          <t>VÄRMLANDS LÄN</t>
        </is>
      </c>
      <c r="E126" t="inlineStr">
        <is>
          <t>FORSHAGA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46109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14988-2024</t>
        </is>
      </c>
      <c r="B128" s="1" t="n">
        <v>45399</v>
      </c>
      <c r="C128" s="1" t="n">
        <v>46109</v>
      </c>
      <c r="D128" t="inlineStr">
        <is>
          <t>VÄRMLANDS LÄN</t>
        </is>
      </c>
      <c r="E128" t="inlineStr">
        <is>
          <t>FORSHAGA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58688-2023</t>
        </is>
      </c>
      <c r="B129" s="1" t="n">
        <v>45251</v>
      </c>
      <c r="C129" s="1" t="n">
        <v>46109</v>
      </c>
      <c r="D129" t="inlineStr">
        <is>
          <t>VÄRMLANDS LÄN</t>
        </is>
      </c>
      <c r="E129" t="inlineStr">
        <is>
          <t>FORSHAGA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14382-2023</t>
        </is>
      </c>
      <c r="B130" s="1" t="n">
        <v>45012</v>
      </c>
      <c r="C130" s="1" t="n">
        <v>46109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61463-2022</t>
        </is>
      </c>
      <c r="B131" s="1" t="n">
        <v>44916</v>
      </c>
      <c r="C131" s="1" t="n">
        <v>46109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46109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46109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46767-2025</t>
        </is>
      </c>
      <c r="B134" s="1" t="n">
        <v>45926.62878472222</v>
      </c>
      <c r="C134" s="1" t="n">
        <v>46109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46868-2025</t>
        </is>
      </c>
      <c r="B135" s="1" t="n">
        <v>45929.33350694444</v>
      </c>
      <c r="C135" s="1" t="n">
        <v>46109</v>
      </c>
      <c r="D135" t="inlineStr">
        <is>
          <t>VÄRMLANDS LÄN</t>
        </is>
      </c>
      <c r="E135" t="inlineStr">
        <is>
          <t>FORSHAGA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56928-2025</t>
        </is>
      </c>
      <c r="B136" s="1" t="n">
        <v>45978</v>
      </c>
      <c r="C136" s="1" t="n">
        <v>46109</v>
      </c>
      <c r="D136" t="inlineStr">
        <is>
          <t>VÄRMLANDS LÄN</t>
        </is>
      </c>
      <c r="E136" t="inlineStr">
        <is>
          <t>FORSHAGA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29852-2022</t>
        </is>
      </c>
      <c r="B137" s="1" t="n">
        <v>44756.37423611111</v>
      </c>
      <c r="C137" s="1" t="n">
        <v>46109</v>
      </c>
      <c r="D137" t="inlineStr">
        <is>
          <t>VÄRMLANDS LÄN</t>
        </is>
      </c>
      <c r="E137" t="inlineStr">
        <is>
          <t>FORSHAGA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827-2026</t>
        </is>
      </c>
      <c r="B138" s="1" t="n">
        <v>46030</v>
      </c>
      <c r="C138" s="1" t="n">
        <v>46109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54692-2024</t>
        </is>
      </c>
      <c r="B139" s="1" t="n">
        <v>45618</v>
      </c>
      <c r="C139" s="1" t="n">
        <v>46109</v>
      </c>
      <c r="D139" t="inlineStr">
        <is>
          <t>VÄRMLANDS LÄN</t>
        </is>
      </c>
      <c r="E139" t="inlineStr">
        <is>
          <t>FORSHAGA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47893-2025</t>
        </is>
      </c>
      <c r="B140" s="1" t="n">
        <v>45932</v>
      </c>
      <c r="C140" s="1" t="n">
        <v>46109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46109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47734-2025</t>
        </is>
      </c>
      <c r="B142" s="1" t="n">
        <v>45931.63662037037</v>
      </c>
      <c r="C142" s="1" t="n">
        <v>46109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46109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46109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26869-2024</t>
        </is>
      </c>
      <c r="B145" s="1" t="n">
        <v>45470.6132175926</v>
      </c>
      <c r="C145" s="1" t="n">
        <v>46109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27346-2025</t>
        </is>
      </c>
      <c r="B146" s="1" t="n">
        <v>45812.62319444444</v>
      </c>
      <c r="C146" s="1" t="n">
        <v>46109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48869-2025</t>
        </is>
      </c>
      <c r="B147" s="1" t="n">
        <v>45937.44954861111</v>
      </c>
      <c r="C147" s="1" t="n">
        <v>46109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27351-2025</t>
        </is>
      </c>
      <c r="B148" s="1" t="n">
        <v>45812.62601851852</v>
      </c>
      <c r="C148" s="1" t="n">
        <v>46109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27353-2025</t>
        </is>
      </c>
      <c r="B149" s="1" t="n">
        <v>45812.62880787037</v>
      </c>
      <c r="C149" s="1" t="n">
        <v>46109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49123-2025</t>
        </is>
      </c>
      <c r="B150" s="1" t="n">
        <v>45937.85078703704</v>
      </c>
      <c r="C150" s="1" t="n">
        <v>46109</v>
      </c>
      <c r="D150" t="inlineStr">
        <is>
          <t>VÄRMLANDS LÄN</t>
        </is>
      </c>
      <c r="E150" t="inlineStr">
        <is>
          <t>FORSHAGA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58121-2024</t>
        </is>
      </c>
      <c r="B151" s="1" t="n">
        <v>45632</v>
      </c>
      <c r="C151" s="1" t="n">
        <v>46109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9524-2024</t>
        </is>
      </c>
      <c r="B152" s="1" t="n">
        <v>45359</v>
      </c>
      <c r="C152" s="1" t="n">
        <v>46109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46109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10987-2026</t>
        </is>
      </c>
      <c r="B154" s="1" t="n">
        <v>46079.48133101852</v>
      </c>
      <c r="C154" s="1" t="n">
        <v>46109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60045-2022</t>
        </is>
      </c>
      <c r="B155" s="1" t="n">
        <v>44902</v>
      </c>
      <c r="C155" s="1" t="n">
        <v>46109</v>
      </c>
      <c r="D155" t="inlineStr">
        <is>
          <t>VÄRMLANDS LÄN</t>
        </is>
      </c>
      <c r="E155" t="inlineStr">
        <is>
          <t>FORSHAGA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31980-2023</t>
        </is>
      </c>
      <c r="B156" s="1" t="n">
        <v>45119</v>
      </c>
      <c r="C156" s="1" t="n">
        <v>46109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46109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50092-2024</t>
        </is>
      </c>
      <c r="B158" s="1" t="n">
        <v>45600</v>
      </c>
      <c r="C158" s="1" t="n">
        <v>46109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51123-2025</t>
        </is>
      </c>
      <c r="B159" s="1" t="n">
        <v>45947.54222222222</v>
      </c>
      <c r="C159" s="1" t="n">
        <v>46109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46109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51848-2025</t>
        </is>
      </c>
      <c r="B161" s="1" t="n">
        <v>45952.35089120371</v>
      </c>
      <c r="C161" s="1" t="n">
        <v>46109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39213-2023</t>
        </is>
      </c>
      <c r="B162" s="1" t="n">
        <v>45166</v>
      </c>
      <c r="C162" s="1" t="n">
        <v>46109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31831-2025</t>
        </is>
      </c>
      <c r="B163" s="1" t="n">
        <v>45834.59111111111</v>
      </c>
      <c r="C163" s="1" t="n">
        <v>46109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12086-2026</t>
        </is>
      </c>
      <c r="B164" s="1" t="n">
        <v>46086.45157407408</v>
      </c>
      <c r="C164" s="1" t="n">
        <v>46109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23117-2023</t>
        </is>
      </c>
      <c r="B165" s="1" t="n">
        <v>45075.45097222222</v>
      </c>
      <c r="C165" s="1" t="n">
        <v>46109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31968-2025</t>
        </is>
      </c>
      <c r="B166" s="1" t="n">
        <v>45835</v>
      </c>
      <c r="C166" s="1" t="n">
        <v>46109</v>
      </c>
      <c r="D166" t="inlineStr">
        <is>
          <t>VÄRMLANDS LÄN</t>
        </is>
      </c>
      <c r="E166" t="inlineStr">
        <is>
          <t>FORSHAGA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48647-2024</t>
        </is>
      </c>
      <c r="B167" s="1" t="n">
        <v>45593</v>
      </c>
      <c r="C167" s="1" t="n">
        <v>46109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53291-2025</t>
        </is>
      </c>
      <c r="B168" s="1" t="n">
        <v>45958.81872685185</v>
      </c>
      <c r="C168" s="1" t="n">
        <v>46109</v>
      </c>
      <c r="D168" t="inlineStr">
        <is>
          <t>VÄRMLANDS LÄN</t>
        </is>
      </c>
      <c r="E168" t="inlineStr">
        <is>
          <t>FORSHAGA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53678-2025</t>
        </is>
      </c>
      <c r="B169" s="1" t="n">
        <v>45960.5640162037</v>
      </c>
      <c r="C169" s="1" t="n">
        <v>46109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35831-2023</t>
        </is>
      </c>
      <c r="B170" s="1" t="n">
        <v>45148</v>
      </c>
      <c r="C170" s="1" t="n">
        <v>46109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35863-2023</t>
        </is>
      </c>
      <c r="B171" s="1" t="n">
        <v>45148</v>
      </c>
      <c r="C171" s="1" t="n">
        <v>46109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42370-2025</t>
        </is>
      </c>
      <c r="B172" s="1" t="n">
        <v>45905</v>
      </c>
      <c r="C172" s="1" t="n">
        <v>46109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58492-2024</t>
        </is>
      </c>
      <c r="B173" s="1" t="n">
        <v>45635</v>
      </c>
      <c r="C173" s="1" t="n">
        <v>46109</v>
      </c>
      <c r="D173" t="inlineStr">
        <is>
          <t>VÄRMLANDS LÄN</t>
        </is>
      </c>
      <c r="E173" t="inlineStr">
        <is>
          <t>FORSHAGA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55512-2025</t>
        </is>
      </c>
      <c r="B174" s="1" t="n">
        <v>45971.60068287037</v>
      </c>
      <c r="C174" s="1" t="n">
        <v>46109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5971-2026</t>
        </is>
      </c>
      <c r="B175" s="1" t="n">
        <v>46052.54554398148</v>
      </c>
      <c r="C175" s="1" t="n">
        <v>46109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13208-2023</t>
        </is>
      </c>
      <c r="B176" s="1" t="n">
        <v>45002</v>
      </c>
      <c r="C176" s="1" t="n">
        <v>46109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45751-2021</t>
        </is>
      </c>
      <c r="B177" s="1" t="n">
        <v>44441</v>
      </c>
      <c r="C177" s="1" t="n">
        <v>46109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16885-2025</t>
        </is>
      </c>
      <c r="B178" s="1" t="n">
        <v>45755.30469907408</v>
      </c>
      <c r="C178" s="1" t="n">
        <v>46109</v>
      </c>
      <c r="D178" t="inlineStr">
        <is>
          <t>VÄRMLANDS LÄN</t>
        </is>
      </c>
      <c r="E178" t="inlineStr">
        <is>
          <t>FORSHAGA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46109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50055-2024</t>
        </is>
      </c>
      <c r="B180" s="1" t="n">
        <v>45600</v>
      </c>
      <c r="C180" s="1" t="n">
        <v>46109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33218-2023</t>
        </is>
      </c>
      <c r="B181" s="1" t="n">
        <v>45127</v>
      </c>
      <c r="C181" s="1" t="n">
        <v>46109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61457-2022</t>
        </is>
      </c>
      <c r="B182" s="1" t="n">
        <v>44916.42027777778</v>
      </c>
      <c r="C182" s="1" t="n">
        <v>46109</v>
      </c>
      <c r="D182" t="inlineStr">
        <is>
          <t>VÄRMLANDS LÄN</t>
        </is>
      </c>
      <c r="E182" t="inlineStr">
        <is>
          <t>FORSHAGA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15463-2026</t>
        </is>
      </c>
      <c r="B183" s="1" t="n">
        <v>46106.42736111111</v>
      </c>
      <c r="C183" s="1" t="n">
        <v>46109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34786-2024</t>
        </is>
      </c>
      <c r="B184" s="1" t="n">
        <v>45526</v>
      </c>
      <c r="C184" s="1" t="n">
        <v>46109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29231-2023</t>
        </is>
      </c>
      <c r="B185" s="1" t="n">
        <v>45105.61543981481</v>
      </c>
      <c r="C185" s="1" t="n">
        <v>46109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16109-2026</t>
        </is>
      </c>
      <c r="B186" s="1" t="n">
        <v>46108.6049537037</v>
      </c>
      <c r="C186" s="1" t="n">
        <v>46109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17135-2025</t>
        </is>
      </c>
      <c r="B187" s="1" t="n">
        <v>45755.79530092593</v>
      </c>
      <c r="C187" s="1" t="n">
        <v>46109</v>
      </c>
      <c r="D187" t="inlineStr">
        <is>
          <t>VÄRMLANDS LÄN</t>
        </is>
      </c>
      <c r="E187" t="inlineStr">
        <is>
          <t>FORSHAGA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63799-2023</t>
        </is>
      </c>
      <c r="B188" s="1" t="n">
        <v>45278</v>
      </c>
      <c r="C188" s="1" t="n">
        <v>46109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19323-2023</t>
        </is>
      </c>
      <c r="B189" s="1" t="n">
        <v>45049.555625</v>
      </c>
      <c r="C189" s="1" t="n">
        <v>46109</v>
      </c>
      <c r="D189" t="inlineStr">
        <is>
          <t>VÄRMLANDS LÄN</t>
        </is>
      </c>
      <c r="E189" t="inlineStr">
        <is>
          <t>FORSHAGA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32680-2023</t>
        </is>
      </c>
      <c r="B190" s="1" t="n">
        <v>45121.67741898148</v>
      </c>
      <c r="C190" s="1" t="n">
        <v>46109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73267-2021</t>
        </is>
      </c>
      <c r="B191" s="1" t="n">
        <v>44550.84347222222</v>
      </c>
      <c r="C191" s="1" t="n">
        <v>46109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48630-2024</t>
        </is>
      </c>
      <c r="B192" s="1" t="n">
        <v>45593.46697916667</v>
      </c>
      <c r="C192" s="1" t="n">
        <v>46109</v>
      </c>
      <c r="D192" t="inlineStr">
        <is>
          <t>VÄRMLANDS LÄN</t>
        </is>
      </c>
      <c r="E192" t="inlineStr">
        <is>
          <t>FORSHAGA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23900-2024</t>
        </is>
      </c>
      <c r="B193" s="1" t="n">
        <v>45455.70663194444</v>
      </c>
      <c r="C193" s="1" t="n">
        <v>46109</v>
      </c>
      <c r="D193" t="inlineStr">
        <is>
          <t>VÄRMLANDS LÄN</t>
        </is>
      </c>
      <c r="E193" t="inlineStr">
        <is>
          <t>FORSHAGA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23451-2024</t>
        </is>
      </c>
      <c r="B194" s="1" t="n">
        <v>45453.64371527778</v>
      </c>
      <c r="C194" s="1" t="n">
        <v>46109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28321-2023</t>
        </is>
      </c>
      <c r="B195" s="1" t="n">
        <v>45099</v>
      </c>
      <c r="C195" s="1" t="n">
        <v>46109</v>
      </c>
      <c r="D195" t="inlineStr">
        <is>
          <t>VÄRMLANDS LÄN</t>
        </is>
      </c>
      <c r="E195" t="inlineStr">
        <is>
          <t>FORSHAGA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25008-2023</t>
        </is>
      </c>
      <c r="B196" s="1" t="n">
        <v>45085</v>
      </c>
      <c r="C196" s="1" t="n">
        <v>46109</v>
      </c>
      <c r="D196" t="inlineStr">
        <is>
          <t>VÄRMLANDS LÄN</t>
        </is>
      </c>
      <c r="E196" t="inlineStr">
        <is>
          <t>FORSHAGA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33219-2023</t>
        </is>
      </c>
      <c r="B197" s="1" t="n">
        <v>45127</v>
      </c>
      <c r="C197" s="1" t="n">
        <v>46109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48590-2024</t>
        </is>
      </c>
      <c r="B198" s="1" t="n">
        <v>45593</v>
      </c>
      <c r="C198" s="1" t="n">
        <v>46109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17519-2024</t>
        </is>
      </c>
      <c r="B199" s="1" t="n">
        <v>45415</v>
      </c>
      <c r="C199" s="1" t="n">
        <v>46109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51124-2021</t>
        </is>
      </c>
      <c r="B200" s="1" t="n">
        <v>44461</v>
      </c>
      <c r="C200" s="1" t="n">
        <v>46109</v>
      </c>
      <c r="D200" t="inlineStr">
        <is>
          <t>VÄRMLANDS LÄN</t>
        </is>
      </c>
      <c r="E200" t="inlineStr">
        <is>
          <t>FORSHAGA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32796-2023</t>
        </is>
      </c>
      <c r="B201" s="1" t="n">
        <v>45124</v>
      </c>
      <c r="C201" s="1" t="n">
        <v>46109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46109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2818-2022</t>
        </is>
      </c>
      <c r="B203" s="1" t="n">
        <v>44581.41297453704</v>
      </c>
      <c r="C203" s="1" t="n">
        <v>46109</v>
      </c>
      <c r="D203" t="inlineStr">
        <is>
          <t>VÄRMLANDS LÄN</t>
        </is>
      </c>
      <c r="E203" t="inlineStr">
        <is>
          <t>FORSHAGA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7273-2023</t>
        </is>
      </c>
      <c r="B204" s="1" t="n">
        <v>44970</v>
      </c>
      <c r="C204" s="1" t="n">
        <v>46109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20862-2024</t>
        </is>
      </c>
      <c r="B205" s="1" t="n">
        <v>45439</v>
      </c>
      <c r="C205" s="1" t="n">
        <v>46109</v>
      </c>
      <c r="D205" t="inlineStr">
        <is>
          <t>VÄRMLANDS LÄN</t>
        </is>
      </c>
      <c r="E205" t="inlineStr">
        <is>
          <t>FORSHAGA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46109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46109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46109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46109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46109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46109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46109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46109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19069-2025</t>
        </is>
      </c>
      <c r="B214" s="1" t="n">
        <v>45765</v>
      </c>
      <c r="C214" s="1" t="n">
        <v>46109</v>
      </c>
      <c r="D214" t="inlineStr">
        <is>
          <t>VÄRMLANDS LÄN</t>
        </is>
      </c>
      <c r="E214" t="inlineStr">
        <is>
          <t>FORSHAGA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11350-2024</t>
        </is>
      </c>
      <c r="B215" s="1" t="n">
        <v>45372.34391203704</v>
      </c>
      <c r="C215" s="1" t="n">
        <v>46109</v>
      </c>
      <c r="D215" t="inlineStr">
        <is>
          <t>VÄRMLANDS LÄN</t>
        </is>
      </c>
      <c r="E215" t="inlineStr">
        <is>
          <t>FORSHAGA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12484-2022</t>
        </is>
      </c>
      <c r="B216" s="1" t="n">
        <v>44638</v>
      </c>
      <c r="C216" s="1" t="n">
        <v>46109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46109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53573-2024</t>
        </is>
      </c>
      <c r="B218" s="1" t="n">
        <v>45614</v>
      </c>
      <c r="C218" s="1" t="n">
        <v>46109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46109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55249-2023</t>
        </is>
      </c>
      <c r="B220" s="1" t="n">
        <v>45237.64636574074</v>
      </c>
      <c r="C220" s="1" t="n">
        <v>46109</v>
      </c>
      <c r="D220" t="inlineStr">
        <is>
          <t>VÄRMLANDS LÄN</t>
        </is>
      </c>
      <c r="E220" t="inlineStr">
        <is>
          <t>FORSHAGA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46109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18439-2025</t>
        </is>
      </c>
      <c r="B222" s="1" t="n">
        <v>45762</v>
      </c>
      <c r="C222" s="1" t="n">
        <v>46109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46109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64121-2023</t>
        </is>
      </c>
      <c r="B224" s="1" t="n">
        <v>45279</v>
      </c>
      <c r="C224" s="1" t="n">
        <v>46109</v>
      </c>
      <c r="D224" t="inlineStr">
        <is>
          <t>VÄRMLANDS LÄN</t>
        </is>
      </c>
      <c r="E224" t="inlineStr">
        <is>
          <t>FORSHAGA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34427-2024</t>
        </is>
      </c>
      <c r="B225" s="1" t="n">
        <v>45525</v>
      </c>
      <c r="C225" s="1" t="n">
        <v>46109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12320-2024</t>
        </is>
      </c>
      <c r="B226" s="1" t="n">
        <v>45378</v>
      </c>
      <c r="C226" s="1" t="n">
        <v>46109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55137-2023</t>
        </is>
      </c>
      <c r="B227" s="1" t="n">
        <v>45237</v>
      </c>
      <c r="C227" s="1" t="n">
        <v>46109</v>
      </c>
      <c r="D227" t="inlineStr">
        <is>
          <t>VÄRMLANDS LÄN</t>
        </is>
      </c>
      <c r="E227" t="inlineStr">
        <is>
          <t>FORSHAGA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73264-2021</t>
        </is>
      </c>
      <c r="B228" s="1" t="n">
        <v>44550</v>
      </c>
      <c r="C228" s="1" t="n">
        <v>46109</v>
      </c>
      <c r="D228" t="inlineStr">
        <is>
          <t>VÄRMLANDS LÄN</t>
        </is>
      </c>
      <c r="E228" t="inlineStr">
        <is>
          <t>FORSHAGA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73266-2021</t>
        </is>
      </c>
      <c r="B229" s="1" t="n">
        <v>44550.84164351852</v>
      </c>
      <c r="C229" s="1" t="n">
        <v>46109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46109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13545-2025</t>
        </is>
      </c>
      <c r="B231" s="1" t="n">
        <v>45736.53642361111</v>
      </c>
      <c r="C231" s="1" t="n">
        <v>46109</v>
      </c>
      <c r="D231" t="inlineStr">
        <is>
          <t>VÄRMLANDS LÄN</t>
        </is>
      </c>
      <c r="E231" t="inlineStr">
        <is>
          <t>FORSHAGA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43163-2024</t>
        </is>
      </c>
      <c r="B232" s="1" t="n">
        <v>45567</v>
      </c>
      <c r="C232" s="1" t="n">
        <v>46109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1338-2023</t>
        </is>
      </c>
      <c r="B233" s="1" t="n">
        <v>44936.58559027778</v>
      </c>
      <c r="C233" s="1" t="n">
        <v>46109</v>
      </c>
      <c r="D233" t="inlineStr">
        <is>
          <t>VÄRMLANDS LÄN</t>
        </is>
      </c>
      <c r="E233" t="inlineStr">
        <is>
          <t>FORSHAGA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35654-2024</t>
        </is>
      </c>
      <c r="B234" s="1" t="n">
        <v>45532.35637731481</v>
      </c>
      <c r="C234" s="1" t="n">
        <v>46109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53912-2022</t>
        </is>
      </c>
      <c r="B235" s="1" t="n">
        <v>44880.85837962963</v>
      </c>
      <c r="C235" s="1" t="n">
        <v>46109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20928-2024</t>
        </is>
      </c>
      <c r="B236" s="1" t="n">
        <v>45439.51597222222</v>
      </c>
      <c r="C236" s="1" t="n">
        <v>46109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20933-2024</t>
        </is>
      </c>
      <c r="B237" s="1" t="n">
        <v>45439</v>
      </c>
      <c r="C237" s="1" t="n">
        <v>46109</v>
      </c>
      <c r="D237" t="inlineStr">
        <is>
          <t>VÄRMLANDS LÄN</t>
        </is>
      </c>
      <c r="E237" t="inlineStr">
        <is>
          <t>FORSHAGA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7297-2023</t>
        </is>
      </c>
      <c r="B238" s="1" t="n">
        <v>44970</v>
      </c>
      <c r="C238" s="1" t="n">
        <v>46109</v>
      </c>
      <c r="D238" t="inlineStr">
        <is>
          <t>VÄRMLANDS LÄN</t>
        </is>
      </c>
      <c r="E238" t="inlineStr">
        <is>
          <t>FORSHAGA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33227-2023</t>
        </is>
      </c>
      <c r="B239" s="1" t="n">
        <v>45127</v>
      </c>
      <c r="C239" s="1" t="n">
        <v>46109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38261-2022</t>
        </is>
      </c>
      <c r="B240" s="1" t="n">
        <v>44812</v>
      </c>
      <c r="C240" s="1" t="n">
        <v>46109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54170-2022</t>
        </is>
      </c>
      <c r="B241" s="1" t="n">
        <v>44881</v>
      </c>
      <c r="C241" s="1" t="n">
        <v>46109</v>
      </c>
      <c r="D241" t="inlineStr">
        <is>
          <t>VÄRMLANDS LÄN</t>
        </is>
      </c>
      <c r="E241" t="inlineStr">
        <is>
          <t>FORSHAGA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46109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39660-2021</t>
        </is>
      </c>
      <c r="B243" s="1" t="n">
        <v>44417</v>
      </c>
      <c r="C243" s="1" t="n">
        <v>46109</v>
      </c>
      <c r="D243" t="inlineStr">
        <is>
          <t>VÄRMLANDS LÄN</t>
        </is>
      </c>
      <c r="E243" t="inlineStr">
        <is>
          <t>FORSHAGA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34737-2021</t>
        </is>
      </c>
      <c r="B244" s="1" t="n">
        <v>44382.6680787037</v>
      </c>
      <c r="C244" s="1" t="n">
        <v>46109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60043-2022</t>
        </is>
      </c>
      <c r="B245" s="1" t="n">
        <v>44902</v>
      </c>
      <c r="C245" s="1" t="n">
        <v>46109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15563-2022</t>
        </is>
      </c>
      <c r="B246" s="1" t="n">
        <v>44662</v>
      </c>
      <c r="C246" s="1" t="n">
        <v>46109</v>
      </c>
      <c r="D246" t="inlineStr">
        <is>
          <t>VÄRMLANDS LÄN</t>
        </is>
      </c>
      <c r="E246" t="inlineStr">
        <is>
          <t>FORSHAGA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56280-2023</t>
        </is>
      </c>
      <c r="B247" s="1" t="n">
        <v>45241</v>
      </c>
      <c r="C247" s="1" t="n">
        <v>46109</v>
      </c>
      <c r="D247" t="inlineStr">
        <is>
          <t>VÄRMLANDS LÄN</t>
        </is>
      </c>
      <c r="E247" t="inlineStr">
        <is>
          <t>FORSHAGA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6918-2025</t>
        </is>
      </c>
      <c r="B248" s="1" t="n">
        <v>45701.4422337963</v>
      </c>
      <c r="C248" s="1" t="n">
        <v>46109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58714-2021</t>
        </is>
      </c>
      <c r="B249" s="1" t="n">
        <v>44489.4774537037</v>
      </c>
      <c r="C249" s="1" t="n">
        <v>46109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35572-2023</t>
        </is>
      </c>
      <c r="B250" s="1" t="n">
        <v>45147</v>
      </c>
      <c r="C250" s="1" t="n">
        <v>46109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28517-2024</t>
        </is>
      </c>
      <c r="B251" s="1" t="n">
        <v>45478.305</v>
      </c>
      <c r="C251" s="1" t="n">
        <v>46109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7919-2023</t>
        </is>
      </c>
      <c r="B252" s="1" t="n">
        <v>44973</v>
      </c>
      <c r="C252" s="1" t="n">
        <v>46109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53585-2024</t>
        </is>
      </c>
      <c r="B253" s="1" t="n">
        <v>45614.66586805556</v>
      </c>
      <c r="C253" s="1" t="n">
        <v>46109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10383-2023</t>
        </is>
      </c>
      <c r="B254" s="1" t="n">
        <v>44987</v>
      </c>
      <c r="C254" s="1" t="n">
        <v>46109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2812-2023</t>
        </is>
      </c>
      <c r="B255" s="1" t="n">
        <v>44944</v>
      </c>
      <c r="C255" s="1" t="n">
        <v>46109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46300-2022</t>
        </is>
      </c>
      <c r="B256" s="1" t="n">
        <v>44847.77737268519</v>
      </c>
      <c r="C256" s="1" t="n">
        <v>46109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46109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32822-2023</t>
        </is>
      </c>
      <c r="B258" s="1" t="n">
        <v>45124.57144675926</v>
      </c>
      <c r="C258" s="1" t="n">
        <v>46109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32830-2023</t>
        </is>
      </c>
      <c r="B259" s="1" t="n">
        <v>45124.58128472222</v>
      </c>
      <c r="C259" s="1" t="n">
        <v>46109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46109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18229-2025</t>
        </is>
      </c>
      <c r="B261" s="1" t="n">
        <v>45761.85296296296</v>
      </c>
      <c r="C261" s="1" t="n">
        <v>46109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1409-2025</t>
        </is>
      </c>
      <c r="B262" s="1" t="n">
        <v>45667</v>
      </c>
      <c r="C262" s="1" t="n">
        <v>46109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46109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6118-2024</t>
        </is>
      </c>
      <c r="B264" s="1" t="n">
        <v>45337</v>
      </c>
      <c r="C264" s="1" t="n">
        <v>46109</v>
      </c>
      <c r="D264" t="inlineStr">
        <is>
          <t>VÄRMLANDS LÄN</t>
        </is>
      </c>
      <c r="E264" t="inlineStr">
        <is>
          <t>FORSHAGA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22582-2024</t>
        </is>
      </c>
      <c r="B265" s="1" t="n">
        <v>45447</v>
      </c>
      <c r="C265" s="1" t="n">
        <v>46109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50635-2023</t>
        </is>
      </c>
      <c r="B266" s="1" t="n">
        <v>45217.46574074074</v>
      </c>
      <c r="C266" s="1" t="n">
        <v>46109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10989-2025</t>
        </is>
      </c>
      <c r="B267" s="1" t="n">
        <v>45723</v>
      </c>
      <c r="C267" s="1" t="n">
        <v>46109</v>
      </c>
      <c r="D267" t="inlineStr">
        <is>
          <t>VÄRMLANDS LÄN</t>
        </is>
      </c>
      <c r="E267" t="inlineStr">
        <is>
          <t>FORSHAGA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65062-2023</t>
        </is>
      </c>
      <c r="B268" s="1" t="n">
        <v>45287</v>
      </c>
      <c r="C268" s="1" t="n">
        <v>46109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28327-2022</t>
        </is>
      </c>
      <c r="B269" s="1" t="n">
        <v>44747</v>
      </c>
      <c r="C269" s="1" t="n">
        <v>46109</v>
      </c>
      <c r="D269" t="inlineStr">
        <is>
          <t>VÄRMLANDS LÄN</t>
        </is>
      </c>
      <c r="E269" t="inlineStr">
        <is>
          <t>FORSHAGA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15663-2024</t>
        </is>
      </c>
      <c r="B270" s="1" t="n">
        <v>45404</v>
      </c>
      <c r="C270" s="1" t="n">
        <v>46109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15149-2025</t>
        </is>
      </c>
      <c r="B271" s="1" t="n">
        <v>45744</v>
      </c>
      <c r="C271" s="1" t="n">
        <v>46109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9693-2025</t>
        </is>
      </c>
      <c r="B272" s="1" t="n">
        <v>45716</v>
      </c>
      <c r="C272" s="1" t="n">
        <v>46109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30859-2024</t>
        </is>
      </c>
      <c r="B273" s="1" t="n">
        <v>45497</v>
      </c>
      <c r="C273" s="1" t="n">
        <v>46109</v>
      </c>
      <c r="D273" t="inlineStr">
        <is>
          <t>VÄRMLANDS LÄN</t>
        </is>
      </c>
      <c r="E273" t="inlineStr">
        <is>
          <t>FORSHAGA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58114-2024</t>
        </is>
      </c>
      <c r="B274" s="1" t="n">
        <v>45632</v>
      </c>
      <c r="C274" s="1" t="n">
        <v>46109</v>
      </c>
      <c r="D274" t="inlineStr">
        <is>
          <t>VÄRMLANDS LÄN</t>
        </is>
      </c>
      <c r="E274" t="inlineStr">
        <is>
          <t>FORSHAGA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6947-2025</t>
        </is>
      </c>
      <c r="B275" s="1" t="n">
        <v>45701</v>
      </c>
      <c r="C275" s="1" t="n">
        <v>46109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50367-2024</t>
        </is>
      </c>
      <c r="B276" s="1" t="n">
        <v>45600.88394675926</v>
      </c>
      <c r="C276" s="1" t="n">
        <v>46109</v>
      </c>
      <c r="D276" t="inlineStr">
        <is>
          <t>VÄRMLANDS LÄN</t>
        </is>
      </c>
      <c r="E276" t="inlineStr">
        <is>
          <t>FORSHAGA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21836-2025</t>
        </is>
      </c>
      <c r="B277" s="1" t="n">
        <v>45784.31782407407</v>
      </c>
      <c r="C277" s="1" t="n">
        <v>46109</v>
      </c>
      <c r="D277" t="inlineStr">
        <is>
          <t>VÄRMLANDS LÄN</t>
        </is>
      </c>
      <c r="E277" t="inlineStr">
        <is>
          <t>FORSHAGA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35336-2024</t>
        </is>
      </c>
      <c r="B278" s="1" t="n">
        <v>45530</v>
      </c>
      <c r="C278" s="1" t="n">
        <v>46109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2026-03-28T11:44:09Z</dcterms:created>
  <dcterms:modified xmlns:dcterms="http://purl.org/dc/terms/" xmlns:xsi="http://www.w3.org/2001/XMLSchema-instance" xsi:type="dcterms:W3CDTF">2026-03-28T11:44:09Z</dcterms:modified>
</cp:coreProperties>
</file>