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45639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45639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45639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45639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45639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45639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45639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45639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45639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45639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45639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45639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45639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45639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28904-2019</t>
        </is>
      </c>
      <c r="B16" s="1" t="n">
        <v>43628</v>
      </c>
      <c r="C16" s="1" t="n">
        <v>45639</v>
      </c>
      <c r="D16" t="inlineStr">
        <is>
          <t>VÄRMLANDS LÄN</t>
        </is>
      </c>
      <c r="E16" t="inlineStr">
        <is>
          <t>FORSHAGA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HYPERLINK("https://klasma.github.io/Logging_1763/artfynd/A 28904-2019 artfynd.xlsx", "A 28904-2019")</f>
        <v/>
      </c>
      <c r="T16">
        <f>HYPERLINK("https://klasma.github.io/Logging_1763/kartor/A 28904-2019 karta.png", "A 28904-2019")</f>
        <v/>
      </c>
      <c r="V16">
        <f>HYPERLINK("https://klasma.github.io/Logging_1763/klagomål/A 28904-2019 FSC-klagomål.docx", "A 28904-2019")</f>
        <v/>
      </c>
      <c r="W16">
        <f>HYPERLINK("https://klasma.github.io/Logging_1763/klagomålsmail/A 28904-2019 FSC-klagomål mail.docx", "A 28904-2019")</f>
        <v/>
      </c>
      <c r="X16">
        <f>HYPERLINK("https://klasma.github.io/Logging_1763/tillsyn/A 28904-2019 tillsynsbegäran.docx", "A 28904-2019")</f>
        <v/>
      </c>
      <c r="Y16">
        <f>HYPERLINK("https://klasma.github.io/Logging_1763/tillsynsmail/A 28904-2019 tillsynsbegäran mail.docx", "A 28904-2019")</f>
        <v/>
      </c>
    </row>
    <row r="17" ht="15" customHeight="1">
      <c r="A17" t="inlineStr">
        <is>
          <t>A 176-2020</t>
        </is>
      </c>
      <c r="B17" s="1" t="n">
        <v>43833</v>
      </c>
      <c r="C17" s="1" t="n">
        <v>45639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HYPERLINK("https://klasma.github.io/Logging_1763/artfynd/A 176-2020 artfynd.xlsx", "A 176-2020")</f>
        <v/>
      </c>
      <c r="T17">
        <f>HYPERLINK("https://klasma.github.io/Logging_1763/kartor/A 176-2020 karta.png", "A 176-2020")</f>
        <v/>
      </c>
      <c r="V17">
        <f>HYPERLINK("https://klasma.github.io/Logging_1763/klagomål/A 176-2020 FSC-klagomål.docx", "A 176-2020")</f>
        <v/>
      </c>
      <c r="W17">
        <f>HYPERLINK("https://klasma.github.io/Logging_1763/klagomålsmail/A 176-2020 FSC-klagomål mail.docx", "A 176-2020")</f>
        <v/>
      </c>
      <c r="X17">
        <f>HYPERLINK("https://klasma.github.io/Logging_1763/tillsyn/A 176-2020 tillsynsbegäran.docx", "A 176-2020")</f>
        <v/>
      </c>
      <c r="Y17">
        <f>HYPERLINK("https://klasma.github.io/Logging_1763/tillsynsmail/A 176-2020 tillsynsbegäran mail.docx", "A 176-2020")</f>
        <v/>
      </c>
    </row>
    <row r="18" ht="15" customHeight="1">
      <c r="A18" t="inlineStr">
        <is>
          <t>A 2358-2020</t>
        </is>
      </c>
      <c r="B18" s="1" t="n">
        <v>43846</v>
      </c>
      <c r="C18" s="1" t="n">
        <v>45639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2358-2020 artfynd.xlsx", "A 2358-2020")</f>
        <v/>
      </c>
      <c r="T18">
        <f>HYPERLINK("https://klasma.github.io/Logging_1763/kartor/A 2358-2020 karta.png", "A 2358-2020")</f>
        <v/>
      </c>
      <c r="V18">
        <f>HYPERLINK("https://klasma.github.io/Logging_1763/klagomål/A 2358-2020 FSC-klagomål.docx", "A 2358-2020")</f>
        <v/>
      </c>
      <c r="W18">
        <f>HYPERLINK("https://klasma.github.io/Logging_1763/klagomålsmail/A 2358-2020 FSC-klagomål mail.docx", "A 2358-2020")</f>
        <v/>
      </c>
      <c r="X18">
        <f>HYPERLINK("https://klasma.github.io/Logging_1763/tillsyn/A 2358-2020 tillsynsbegäran.docx", "A 2358-2020")</f>
        <v/>
      </c>
      <c r="Y18">
        <f>HYPERLINK("https://klasma.github.io/Logging_1763/tillsynsmail/A 2358-2020 tillsynsbegäran mail.docx", "A 2358-2020")</f>
        <v/>
      </c>
    </row>
    <row r="19" ht="15" customHeight="1">
      <c r="A19" t="inlineStr">
        <is>
          <t>A 68077-2020</t>
        </is>
      </c>
      <c r="B19" s="1" t="n">
        <v>44183</v>
      </c>
      <c r="C19" s="1" t="n">
        <v>45639</v>
      </c>
      <c r="D19" t="inlineStr">
        <is>
          <t>VÄRMLANDS LÄN</t>
        </is>
      </c>
      <c r="E19" t="inlineStr">
        <is>
          <t>FORSHAGA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HYPERLINK("https://klasma.github.io/Logging_1763/artfynd/A 68077-2020 artfynd.xlsx", "A 68077-2020")</f>
        <v/>
      </c>
      <c r="T19">
        <f>HYPERLINK("https://klasma.github.io/Logging_1763/kartor/A 68077-2020 karta.png", "A 68077-2020")</f>
        <v/>
      </c>
      <c r="V19">
        <f>HYPERLINK("https://klasma.github.io/Logging_1763/klagomål/A 68077-2020 FSC-klagomål.docx", "A 68077-2020")</f>
        <v/>
      </c>
      <c r="W19">
        <f>HYPERLINK("https://klasma.github.io/Logging_1763/klagomålsmail/A 68077-2020 FSC-klagomål mail.docx", "A 68077-2020")</f>
        <v/>
      </c>
      <c r="X19">
        <f>HYPERLINK("https://klasma.github.io/Logging_1763/tillsyn/A 68077-2020 tillsynsbegäran.docx", "A 68077-2020")</f>
        <v/>
      </c>
      <c r="Y19">
        <f>HYPERLINK("https://klasma.github.io/Logging_1763/tillsynsmail/A 68077-2020 tillsynsbegäran mail.docx", "A 68077-2020")</f>
        <v/>
      </c>
    </row>
    <row r="20" ht="15" customHeight="1">
      <c r="A20" t="inlineStr">
        <is>
          <t>A 38857-2021</t>
        </is>
      </c>
      <c r="B20" s="1" t="n">
        <v>44411</v>
      </c>
      <c r="C20" s="1" t="n">
        <v>45639</v>
      </c>
      <c r="D20" t="inlineStr">
        <is>
          <t>VÄRMLANDS LÄN</t>
        </is>
      </c>
      <c r="E20" t="inlineStr">
        <is>
          <t>FORSHAGA</t>
        </is>
      </c>
      <c r="F20" t="inlineStr">
        <is>
          <t>Bergvik skog väst AB</t>
        </is>
      </c>
      <c r="G20" t="n">
        <v>20.6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HYPERLINK("https://klasma.github.io/Logging_1763/artfynd/A 38857-2021 artfynd.xlsx", "A 38857-2021")</f>
        <v/>
      </c>
      <c r="T20">
        <f>HYPERLINK("https://klasma.github.io/Logging_1763/kartor/A 38857-2021 karta.png", "A 38857-2021")</f>
        <v/>
      </c>
      <c r="V20">
        <f>HYPERLINK("https://klasma.github.io/Logging_1763/klagomål/A 38857-2021 FSC-klagomål.docx", "A 38857-2021")</f>
        <v/>
      </c>
      <c r="W20">
        <f>HYPERLINK("https://klasma.github.io/Logging_1763/klagomålsmail/A 38857-2021 FSC-klagomål mail.docx", "A 38857-2021")</f>
        <v/>
      </c>
      <c r="X20">
        <f>HYPERLINK("https://klasma.github.io/Logging_1763/tillsyn/A 38857-2021 tillsynsbegäran.docx", "A 38857-2021")</f>
        <v/>
      </c>
      <c r="Y20">
        <f>HYPERLINK("https://klasma.github.io/Logging_1763/tillsynsmail/A 38857-2021 tillsynsbegäran mail.docx", "A 38857-2021")</f>
        <v/>
      </c>
    </row>
    <row r="21" ht="15" customHeight="1">
      <c r="A21" t="inlineStr">
        <is>
          <t>A 6294-2022</t>
        </is>
      </c>
      <c r="B21" s="1" t="n">
        <v>44601</v>
      </c>
      <c r="C21" s="1" t="n">
        <v>45639</v>
      </c>
      <c r="D21" t="inlineStr">
        <is>
          <t>VÄRMLANDS LÄN</t>
        </is>
      </c>
      <c r="E21" t="inlineStr">
        <is>
          <t>FORSHAGA</t>
        </is>
      </c>
      <c r="G21" t="n">
        <v>3.2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HYPERLINK("https://klasma.github.io/Logging_1763/artfynd/A 6294-2022 artfynd.xlsx", "A 6294-2022")</f>
        <v/>
      </c>
      <c r="T21">
        <f>HYPERLINK("https://klasma.github.io/Logging_1763/kartor/A 6294-2022 karta.png", "A 6294-2022")</f>
        <v/>
      </c>
      <c r="V21">
        <f>HYPERLINK("https://klasma.github.io/Logging_1763/klagomål/A 6294-2022 FSC-klagomål.docx", "A 6294-2022")</f>
        <v/>
      </c>
      <c r="W21">
        <f>HYPERLINK("https://klasma.github.io/Logging_1763/klagomålsmail/A 6294-2022 FSC-klagomål mail.docx", "A 6294-2022")</f>
        <v/>
      </c>
      <c r="X21">
        <f>HYPERLINK("https://klasma.github.io/Logging_1763/tillsyn/A 6294-2022 tillsynsbegäran.docx", "A 6294-2022")</f>
        <v/>
      </c>
      <c r="Y21">
        <f>HYPERLINK("https://klasma.github.io/Logging_1763/tillsynsmail/A 6294-2022 tillsynsbegäran mail.docx", "A 6294-2022")</f>
        <v/>
      </c>
      <c r="Z21">
        <f>HYPERLINK("https://klasma.github.io/Logging_1763/fåglar/A 6294-2022 prioriterade fågelarter.docx", "A 6294-2022")</f>
        <v/>
      </c>
    </row>
    <row r="22" ht="15" customHeight="1">
      <c r="A22" t="inlineStr">
        <is>
          <t>A 14114-2022</t>
        </is>
      </c>
      <c r="B22" s="1" t="n">
        <v>44651</v>
      </c>
      <c r="C22" s="1" t="n">
        <v>45639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25.1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Sotnätfjäril</t>
        </is>
      </c>
      <c r="S22">
        <f>HYPERLINK("https://klasma.github.io/Logging_1763/artfynd/A 14114-2022 artfynd.xlsx", "A 14114-2022")</f>
        <v/>
      </c>
      <c r="T22">
        <f>HYPERLINK("https://klasma.github.io/Logging_1763/kartor/A 14114-2022 karta.png", "A 14114-2022")</f>
        <v/>
      </c>
      <c r="V22">
        <f>HYPERLINK("https://klasma.github.io/Logging_1763/klagomål/A 14114-2022 FSC-klagomål.docx", "A 14114-2022")</f>
        <v/>
      </c>
      <c r="W22">
        <f>HYPERLINK("https://klasma.github.io/Logging_1763/klagomålsmail/A 14114-2022 FSC-klagomål mail.docx", "A 14114-2022")</f>
        <v/>
      </c>
      <c r="X22">
        <f>HYPERLINK("https://klasma.github.io/Logging_1763/tillsyn/A 14114-2022 tillsynsbegäran.docx", "A 14114-2022")</f>
        <v/>
      </c>
      <c r="Y22">
        <f>HYPERLINK("https://klasma.github.io/Logging_1763/tillsynsmail/A 14114-2022 tillsynsbegäran mail.docx", "A 14114-2022")</f>
        <v/>
      </c>
    </row>
    <row r="23" ht="15" customHeight="1">
      <c r="A23" t="inlineStr">
        <is>
          <t>A 26233-2022</t>
        </is>
      </c>
      <c r="B23" s="1" t="n">
        <v>44735</v>
      </c>
      <c r="C23" s="1" t="n">
        <v>45639</v>
      </c>
      <c r="D23" t="inlineStr">
        <is>
          <t>VÄRMLANDS LÄN</t>
        </is>
      </c>
      <c r="E23" t="inlineStr">
        <is>
          <t>FORSHAGA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Buskmus</t>
        </is>
      </c>
      <c r="S23">
        <f>HYPERLINK("https://klasma.github.io/Logging_1763/artfynd/A 26233-2022 artfynd.xlsx", "A 26233-2022")</f>
        <v/>
      </c>
      <c r="T23">
        <f>HYPERLINK("https://klasma.github.io/Logging_1763/kartor/A 26233-2022 karta.png", "A 26233-2022")</f>
        <v/>
      </c>
      <c r="V23">
        <f>HYPERLINK("https://klasma.github.io/Logging_1763/klagomål/A 26233-2022 FSC-klagomål.docx", "A 26233-2022")</f>
        <v/>
      </c>
      <c r="W23">
        <f>HYPERLINK("https://klasma.github.io/Logging_1763/klagomålsmail/A 26233-2022 FSC-klagomål mail.docx", "A 26233-2022")</f>
        <v/>
      </c>
      <c r="X23">
        <f>HYPERLINK("https://klasma.github.io/Logging_1763/tillsyn/A 26233-2022 tillsynsbegäran.docx", "A 26233-2022")</f>
        <v/>
      </c>
      <c r="Y23">
        <f>HYPERLINK("https://klasma.github.io/Logging_1763/tillsynsmail/A 26233-2022 tillsynsbegäran mail.docx", "A 26233-2022")</f>
        <v/>
      </c>
    </row>
    <row r="24" ht="15" customHeight="1">
      <c r="A24" t="inlineStr">
        <is>
          <t>A 60736-2022</t>
        </is>
      </c>
      <c r="B24" s="1" t="n">
        <v>44913</v>
      </c>
      <c r="C24" s="1" t="n">
        <v>45639</v>
      </c>
      <c r="D24" t="inlineStr">
        <is>
          <t>VÄRMLANDS LÄN</t>
        </is>
      </c>
      <c r="E24" t="inlineStr">
        <is>
          <t>FORSHAGA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HYPERLINK("https://klasma.github.io/Logging_1763/artfynd/A 60736-2022 artfynd.xlsx", "A 60736-2022")</f>
        <v/>
      </c>
      <c r="T24">
        <f>HYPERLINK("https://klasma.github.io/Logging_1763/kartor/A 60736-2022 karta.png", "A 60736-2022")</f>
        <v/>
      </c>
      <c r="V24">
        <f>HYPERLINK("https://klasma.github.io/Logging_1763/klagomål/A 60736-2022 FSC-klagomål.docx", "A 60736-2022")</f>
        <v/>
      </c>
      <c r="W24">
        <f>HYPERLINK("https://klasma.github.io/Logging_1763/klagomålsmail/A 60736-2022 FSC-klagomål mail.docx", "A 60736-2022")</f>
        <v/>
      </c>
      <c r="X24">
        <f>HYPERLINK("https://klasma.github.io/Logging_1763/tillsyn/A 60736-2022 tillsynsbegäran.docx", "A 60736-2022")</f>
        <v/>
      </c>
      <c r="Y24">
        <f>HYPERLINK("https://klasma.github.io/Logging_1763/tillsynsmail/A 60736-2022 tillsynsbegäran mail.docx", "A 60736-2022")</f>
        <v/>
      </c>
      <c r="Z24">
        <f>HYPERLINK("https://klasma.github.io/Logging_1763/fåglar/A 60736-2022 prioriterade fågelarter.docx", "A 60736-2022")</f>
        <v/>
      </c>
    </row>
    <row r="25" ht="15" customHeight="1">
      <c r="A25" t="inlineStr">
        <is>
          <t>A 45484-2023</t>
        </is>
      </c>
      <c r="B25" s="1" t="n">
        <v>45188</v>
      </c>
      <c r="C25" s="1" t="n">
        <v>45639</v>
      </c>
      <c r="D25" t="inlineStr">
        <is>
          <t>VÄRMLANDS LÄN</t>
        </is>
      </c>
      <c r="E25" t="inlineStr">
        <is>
          <t>FORSHAGA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Scharlakansvårskål agg.</t>
        </is>
      </c>
      <c r="S25">
        <f>HYPERLINK("https://klasma.github.io/Logging_1763/artfynd/A 45484-2023 artfynd.xlsx", "A 45484-2023")</f>
        <v/>
      </c>
      <c r="T25">
        <f>HYPERLINK("https://klasma.github.io/Logging_1763/kartor/A 45484-2023 karta.png", "A 45484-2023")</f>
        <v/>
      </c>
      <c r="V25">
        <f>HYPERLINK("https://klasma.github.io/Logging_1763/klagomål/A 45484-2023 FSC-klagomål.docx", "A 45484-2023")</f>
        <v/>
      </c>
      <c r="W25">
        <f>HYPERLINK("https://klasma.github.io/Logging_1763/klagomålsmail/A 45484-2023 FSC-klagomål mail.docx", "A 45484-2023")</f>
        <v/>
      </c>
      <c r="X25">
        <f>HYPERLINK("https://klasma.github.io/Logging_1763/tillsyn/A 45484-2023 tillsynsbegäran.docx", "A 45484-2023")</f>
        <v/>
      </c>
      <c r="Y25">
        <f>HYPERLINK("https://klasma.github.io/Logging_1763/tillsynsmail/A 45484-2023 tillsynsbegäran mail.docx", "A 45484-2023")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45639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45639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45639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45639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45639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45639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45639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45639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45639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45639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45639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45639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45639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45639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45639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45639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45639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45639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45639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45639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45639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45639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45639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45639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45639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45639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45639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45639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45639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45639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45639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45639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45639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45639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45639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45639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45639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45639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45639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45639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45639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45639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45639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45639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45639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45639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45639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45639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45639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45639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45639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45639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45639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45639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45639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45639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45639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45639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45639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45639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45639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45639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45639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45639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45639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45639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45639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45639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45639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45639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45639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45639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45639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45639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45639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45639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45639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45639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45639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45639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45639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45639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45639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45639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45639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45639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45639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45639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45639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45639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45639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45639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45639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45639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45639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45639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45639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45639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45639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45639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45639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45639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45639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45639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45639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45639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45639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45639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45639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45639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45639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45639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45639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45639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45639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45639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45639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45639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45639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45639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45639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45639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45639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45639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45639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45639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45639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45639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45639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45639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45639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45639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45639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45639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45639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45639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45639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45639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45639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45639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45639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45639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45639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45639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45639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45639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45639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45639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45639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45639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45639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45639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45639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45639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45639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45639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45639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45639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45639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45639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45639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45639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45639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45639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45639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45639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45639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45639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45639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45639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45639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45639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45639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45639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45639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45639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45639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45639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45639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45639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45639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45639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45639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45639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45639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45639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45639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45639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45639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45639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45639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45639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45639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45639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45639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45639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45639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45639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45639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45639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45639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45639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45639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45639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45639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45639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45639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45639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45639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45639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45639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45639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45639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45639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45639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45639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45639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45639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45639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45639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45639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45639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45639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45639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45639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45639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45639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45639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45639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45639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45639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45639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45639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45639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45639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45639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45639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45639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45639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45639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45639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45639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45639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45639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45639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45639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45639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45639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45639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45639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45639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45639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45639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45639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45639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45639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45639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45639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45639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45639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45639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45639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45639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45639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45639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45639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45639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45639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45639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45639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45639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45639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45639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45639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45639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45639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45639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45639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45639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45639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45639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45639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45639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45639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45639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45639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45639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45639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45639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45639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45639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45639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45639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45639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45639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45639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45639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45639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45639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45639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45639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45639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45639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45639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45639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45639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45639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45639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45639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45639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45639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45639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45639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45639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45639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45639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45639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45639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45639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45639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45639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45639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45639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45639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45639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45639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45639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45639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45639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45639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45639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45639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45639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45639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45639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45639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45639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45639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45639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45639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45639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45639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45639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45639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45639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45639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45639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45639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45639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45639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45639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45639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45639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45639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45639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45639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45639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45639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45639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45639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45639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45639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45639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45639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45639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45639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45639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45639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45639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45639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45639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45639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45639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45639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45639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45639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45639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45639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45639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45639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45639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45639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45639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45639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45639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45639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45639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45639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45639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45639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45639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45639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45639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45639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45639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45639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45639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45639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45639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45639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45639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45639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45639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45639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45639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45639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45639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45639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45639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45639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45639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45639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45639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45639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45639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45639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45639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45639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45639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45639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45639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45639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45639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45639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45639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45639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45639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45639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45639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45639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45639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45639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45639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45639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45639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45639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45639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45639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45639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45639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45639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45639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45639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45639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45639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45639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45639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45639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45639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45639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45639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45639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45639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45639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45639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45639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45639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45639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45639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45639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45639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45639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45639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45639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45639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45639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45639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45639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45639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45639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45639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45639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45639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45639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45639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45639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45639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45639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45639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45639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45639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45639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45639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45639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53538-2024</t>
        </is>
      </c>
      <c r="B510" s="1" t="n">
        <v>45614</v>
      </c>
      <c r="C510" s="1" t="n">
        <v>45639</v>
      </c>
      <c r="D510" t="inlineStr">
        <is>
          <t>VÄRMLANDS LÄN</t>
        </is>
      </c>
      <c r="E510" t="inlineStr">
        <is>
          <t>FORSHAGA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53573-2024</t>
        </is>
      </c>
      <c r="B511" s="1" t="n">
        <v>45614</v>
      </c>
      <c r="C511" s="1" t="n">
        <v>45639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53585-2024</t>
        </is>
      </c>
      <c r="B512" s="1" t="n">
        <v>45614</v>
      </c>
      <c r="C512" s="1" t="n">
        <v>45639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53596-2024</t>
        </is>
      </c>
      <c r="B513" s="1" t="n">
        <v>45614</v>
      </c>
      <c r="C513" s="1" t="n">
        <v>45639</v>
      </c>
      <c r="D513" t="inlineStr">
        <is>
          <t>VÄRMLANDS LÄN</t>
        </is>
      </c>
      <c r="E513" t="inlineStr">
        <is>
          <t>FORSHAGA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45639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45639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45639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45639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45639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58245-2024</t>
        </is>
      </c>
      <c r="B519" s="1" t="n">
        <v>45632</v>
      </c>
      <c r="C519" s="1" t="n">
        <v>45639</v>
      </c>
      <c r="D519" t="inlineStr">
        <is>
          <t>VÄRMLANDS LÄN</t>
        </is>
      </c>
      <c r="E519" t="inlineStr">
        <is>
          <t>FORSHAGA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58492-2024</t>
        </is>
      </c>
      <c r="B520" s="1" t="n">
        <v>45635</v>
      </c>
      <c r="C520" s="1" t="n">
        <v>45639</v>
      </c>
      <c r="D520" t="inlineStr">
        <is>
          <t>VÄRMLANDS LÄN</t>
        </is>
      </c>
      <c r="E520" t="inlineStr">
        <is>
          <t>FORSHAGA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58447-2024</t>
        </is>
      </c>
      <c r="B521" s="1" t="n">
        <v>45635</v>
      </c>
      <c r="C521" s="1" t="n">
        <v>45639</v>
      </c>
      <c r="D521" t="inlineStr">
        <is>
          <t>VÄRMLANDS LÄN</t>
        </is>
      </c>
      <c r="E521" t="inlineStr">
        <is>
          <t>FORSHAGA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58451-2024</t>
        </is>
      </c>
      <c r="B522" s="1" t="n">
        <v>45635</v>
      </c>
      <c r="C522" s="1" t="n">
        <v>45639</v>
      </c>
      <c r="D522" t="inlineStr">
        <is>
          <t>VÄRMLANDS LÄN</t>
        </is>
      </c>
      <c r="E522" t="inlineStr">
        <is>
          <t>FORSHAGA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58868-2024</t>
        </is>
      </c>
      <c r="B523" s="1" t="n">
        <v>45636</v>
      </c>
      <c r="C523" s="1" t="n">
        <v>45639</v>
      </c>
      <c r="D523" t="inlineStr">
        <is>
          <t>VÄRMLANDS LÄN</t>
        </is>
      </c>
      <c r="E523" t="inlineStr">
        <is>
          <t>FORSHAGA</t>
        </is>
      </c>
      <c r="F523" t="inlineStr">
        <is>
          <t>Bergvik skog väst AB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>
      <c r="A524" t="inlineStr">
        <is>
          <t>A 59624-2024</t>
        </is>
      </c>
      <c r="B524" s="1" t="n">
        <v>45638</v>
      </c>
      <c r="C524" s="1" t="n">
        <v>45639</v>
      </c>
      <c r="D524" t="inlineStr">
        <is>
          <t>VÄRMLANDS LÄN</t>
        </is>
      </c>
      <c r="E524" t="inlineStr">
        <is>
          <t>FORSHAGA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2024-12-13T15:27:13Z</dcterms:created>
  <dcterms:modified xmlns:dcterms="http://purl.org/dc/terms/" xmlns:xsi="http://www.w3.org/2001/XMLSchema-instance" xsi:type="dcterms:W3CDTF">2024-12-13T15:27:13Z</dcterms:modified>
</cp:coreProperties>
</file>