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45695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45695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45695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45695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45695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45695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45695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45695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45695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45695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45695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45695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45695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45695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45695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45695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45695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45695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45695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45695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45695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45695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45695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35334-2024</t>
        </is>
      </c>
      <c r="B25" s="1" t="n">
        <v>45530</v>
      </c>
      <c r="C25" s="1" t="n">
        <v>45695</v>
      </c>
      <c r="D25" t="inlineStr">
        <is>
          <t>VÄRMLANDS LÄN</t>
        </is>
      </c>
      <c r="E25" t="inlineStr">
        <is>
          <t>FORSHAGA</t>
        </is>
      </c>
      <c r="F25" t="inlineStr">
        <is>
          <t>Kommuner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HYPERLINK("https://klasma.github.io/Logging_1763/artfynd/A 35334-2024 artfynd.xlsx", "A 35334-2024")</f>
        <v/>
      </c>
      <c r="T25">
        <f>HYPERLINK("https://klasma.github.io/Logging_1763/kartor/A 35334-2024 karta.png", "A 35334-2024")</f>
        <v/>
      </c>
      <c r="V25">
        <f>HYPERLINK("https://klasma.github.io/Logging_1763/klagomål/A 35334-2024 FSC-klagomål.docx", "A 35334-2024")</f>
        <v/>
      </c>
      <c r="W25">
        <f>HYPERLINK("https://klasma.github.io/Logging_1763/klagomålsmail/A 35334-2024 FSC-klagomål mail.docx", "A 35334-2024")</f>
        <v/>
      </c>
      <c r="X25">
        <f>HYPERLINK("https://klasma.github.io/Logging_1763/tillsyn/A 35334-2024 tillsynsbegäran.docx", "A 35334-2024")</f>
        <v/>
      </c>
      <c r="Y25">
        <f>HYPERLINK("https://klasma.github.io/Logging_1763/tillsynsmail/A 35334-2024 tillsynsbegäran mail.docx", "A 35334-2024")</f>
        <v/>
      </c>
    </row>
    <row r="26" ht="15" customHeight="1">
      <c r="A26" t="inlineStr">
        <is>
          <t>A 46620-2024</t>
        </is>
      </c>
      <c r="B26" s="1" t="n">
        <v>45583</v>
      </c>
      <c r="C26" s="1" t="n">
        <v>45695</v>
      </c>
      <c r="D26" t="inlineStr">
        <is>
          <t>VÄRMLANDS LÄN</t>
        </is>
      </c>
      <c r="E26" t="inlineStr">
        <is>
          <t>FORSHAGA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HYPERLINK("https://klasma.github.io/Logging_1763/artfynd/A 46620-2024 artfynd.xlsx", "A 46620-2024")</f>
        <v/>
      </c>
      <c r="T26">
        <f>HYPERLINK("https://klasma.github.io/Logging_1763/kartor/A 46620-2024 karta.png", "A 46620-2024")</f>
        <v/>
      </c>
      <c r="V26">
        <f>HYPERLINK("https://klasma.github.io/Logging_1763/klagomål/A 46620-2024 FSC-klagomål.docx", "A 46620-2024")</f>
        <v/>
      </c>
      <c r="W26">
        <f>HYPERLINK("https://klasma.github.io/Logging_1763/klagomålsmail/A 46620-2024 FSC-klagomål mail.docx", "A 46620-2024")</f>
        <v/>
      </c>
      <c r="X26">
        <f>HYPERLINK("https://klasma.github.io/Logging_1763/tillsyn/A 46620-2024 tillsynsbegäran.docx", "A 46620-2024")</f>
        <v/>
      </c>
      <c r="Y26">
        <f>HYPERLINK("https://klasma.github.io/Logging_1763/tillsynsmail/A 46620-2024 tillsynsbegäran mail.docx", "A 46620-2024")</f>
        <v/>
      </c>
    </row>
    <row r="27" ht="15" customHeight="1">
      <c r="A27" t="inlineStr">
        <is>
          <t>A 18113-2019</t>
        </is>
      </c>
      <c r="B27" s="1" t="n">
        <v>43558</v>
      </c>
      <c r="C27" s="1" t="n">
        <v>45695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19828-2019</t>
        </is>
      </c>
      <c r="B28" s="1" t="n">
        <v>43566</v>
      </c>
      <c r="C28" s="1" t="n">
        <v>45695</v>
      </c>
      <c r="D28" t="inlineStr">
        <is>
          <t>VÄRMLANDS LÄN</t>
        </is>
      </c>
      <c r="E28" t="inlineStr">
        <is>
          <t>FORSHAGA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20791-2019</t>
        </is>
      </c>
      <c r="B29" s="1" t="n">
        <v>43573</v>
      </c>
      <c r="C29" s="1" t="n">
        <v>45695</v>
      </c>
      <c r="D29" t="inlineStr">
        <is>
          <t>VÄRMLANDS LÄN</t>
        </is>
      </c>
      <c r="E29" t="inlineStr">
        <is>
          <t>FORSHAGA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21185-2019</t>
        </is>
      </c>
      <c r="B30" s="1" t="n">
        <v>43579</v>
      </c>
      <c r="C30" s="1" t="n">
        <v>45695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21283-2019</t>
        </is>
      </c>
      <c r="B31" s="1" t="n">
        <v>43579</v>
      </c>
      <c r="C31" s="1" t="n">
        <v>45695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17.2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21196-2019</t>
        </is>
      </c>
      <c r="B32" s="1" t="n">
        <v>43579</v>
      </c>
      <c r="C32" s="1" t="n">
        <v>45695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21464-2019</t>
        </is>
      </c>
      <c r="B33" s="1" t="n">
        <v>43580</v>
      </c>
      <c r="C33" s="1" t="n">
        <v>45695</v>
      </c>
      <c r="D33" t="inlineStr">
        <is>
          <t>VÄRMLANDS LÄN</t>
        </is>
      </c>
      <c r="E33" t="inlineStr">
        <is>
          <t>FORSHAGA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21467-2019</t>
        </is>
      </c>
      <c r="B34" s="1" t="n">
        <v>43580</v>
      </c>
      <c r="C34" s="1" t="n">
        <v>45695</v>
      </c>
      <c r="D34" t="inlineStr">
        <is>
          <t>VÄRMLANDS LÄN</t>
        </is>
      </c>
      <c r="E34" t="inlineStr">
        <is>
          <t>FORSHAGA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21695-2019</t>
        </is>
      </c>
      <c r="B35" s="1" t="n">
        <v>43581</v>
      </c>
      <c r="C35" s="1" t="n">
        <v>45695</v>
      </c>
      <c r="D35" t="inlineStr">
        <is>
          <t>VÄRMLANDS LÄN</t>
        </is>
      </c>
      <c r="E35" t="inlineStr">
        <is>
          <t>FORSHAGA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23032-2019</t>
        </is>
      </c>
      <c r="B36" s="1" t="n">
        <v>43591</v>
      </c>
      <c r="C36" s="1" t="n">
        <v>45695</v>
      </c>
      <c r="D36" t="inlineStr">
        <is>
          <t>VÄRMLANDS LÄN</t>
        </is>
      </c>
      <c r="E36" t="inlineStr">
        <is>
          <t>FORSHAGA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23266-2019</t>
        </is>
      </c>
      <c r="B37" s="1" t="n">
        <v>43592</v>
      </c>
      <c r="C37" s="1" t="n">
        <v>45695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24215-2019</t>
        </is>
      </c>
      <c r="B38" s="1" t="n">
        <v>43599</v>
      </c>
      <c r="C38" s="1" t="n">
        <v>45695</v>
      </c>
      <c r="D38" t="inlineStr">
        <is>
          <t>VÄRMLANDS LÄN</t>
        </is>
      </c>
      <c r="E38" t="inlineStr">
        <is>
          <t>FORSHAGA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26412-2019</t>
        </is>
      </c>
      <c r="B39" s="1" t="n">
        <v>43612</v>
      </c>
      <c r="C39" s="1" t="n">
        <v>45695</v>
      </c>
      <c r="D39" t="inlineStr">
        <is>
          <t>VÄRMLANDS LÄN</t>
        </is>
      </c>
      <c r="E39" t="inlineStr">
        <is>
          <t>FORSHAGA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26509-2019</t>
        </is>
      </c>
      <c r="B40" s="1" t="n">
        <v>43612</v>
      </c>
      <c r="C40" s="1" t="n">
        <v>45695</v>
      </c>
      <c r="D40" t="inlineStr">
        <is>
          <t>VÄRMLANDS LÄN</t>
        </is>
      </c>
      <c r="E40" t="inlineStr">
        <is>
          <t>FORSHAGA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28904-2019</t>
        </is>
      </c>
      <c r="B41" s="1" t="n">
        <v>43628</v>
      </c>
      <c r="C41" s="1" t="n">
        <v>45695</v>
      </c>
      <c r="D41" t="inlineStr">
        <is>
          <t>VÄRMLANDS LÄN</t>
        </is>
      </c>
      <c r="E41" t="inlineStr">
        <is>
          <t>FORSHAGA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45695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45695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45695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45695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45695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45695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45695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45695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45695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45695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45695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45695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45695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45695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45695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45695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45695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45695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45695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45695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45695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45695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45695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45695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45695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45695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45695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45695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45695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45695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45695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45695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45695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45695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45695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45695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45695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45695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45695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45695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45695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45695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45695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45695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45695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45695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45695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45695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45695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45695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45695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45695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45695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45695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45695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45695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45695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45695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45695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45695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45695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45695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45695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45695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45695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45695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45695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45695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45695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45695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45695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45695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45695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45695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45695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45695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45695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45695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45695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45695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45695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45695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45695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45695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45695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45695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45695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45695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45695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45695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45695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45695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45695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45695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45695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45695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45695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45695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45695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45695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45695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45695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45695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45695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45695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45695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45695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45695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45695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45695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45695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45695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45695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45695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45695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45695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45695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45695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45695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45695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45695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45695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45695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45695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45695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45695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45695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45695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45695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45695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45695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45695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45695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45695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45695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45695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45695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45695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45695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45695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45695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45695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45695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45695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45695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45695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45695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45695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45695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45695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45695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45695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45695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45695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45695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45695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45695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45695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45695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45695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45695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45695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45695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45695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45695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45695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45695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45695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45695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45695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45695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45695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45695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45695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45695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45695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45695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45695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45695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45695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45695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45695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45695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45695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45695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45695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45695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45695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45695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45695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45695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45695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45695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45695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45695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45695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45695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45695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45695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45695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45695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45695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45695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45695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45695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45695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45695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45695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45695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45695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45695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45695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45695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45695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45695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45695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45695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45695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45695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45695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45695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45695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45695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45695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45695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45695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45695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45695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45695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45695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45695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45695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45695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45695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45695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45695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45695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45695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45695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45695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45695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45695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45695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45695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45695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45695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45695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45695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45695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45695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45695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45695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45695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45695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45695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45695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45695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45695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45695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45695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45695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45695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45695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45695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45695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45695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45695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45695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45695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45695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45695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45695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45695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45695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45695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45695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45695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45695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45695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45695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45695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45695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45695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45695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45695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45695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45695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45695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45695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45695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45695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45695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45695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45695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45695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45695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45695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45695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45695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45695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45695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45695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45695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45695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45695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45695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45695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45695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45695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45695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45695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45695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45695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45695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45695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45695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45695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45695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45695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45695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45695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45695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45695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45695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45695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45695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45695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45695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45695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45695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45695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45695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45695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45695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45695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45695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45695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45695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45695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45695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45695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45695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45695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45695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45695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45695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45695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45695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45695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45695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45695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45695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45695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45695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45695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45695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45695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45695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45695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45695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45695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45695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45695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45695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45695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45695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45695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45695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45695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45695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45695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45695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45695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45695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45695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45695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45695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45695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45695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45695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45695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45695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45695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45695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45695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45695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45695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45695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45695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45695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45695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45695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45695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45695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45695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45695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45695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45695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45695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45695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45695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45695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45695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45695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45695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45695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45695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45695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45695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45695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45695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45695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45695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45695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45695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45695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45695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45695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45695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45695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45695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45695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45695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45695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45695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45695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45695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45695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45695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45695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45695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45695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45695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45695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45695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45695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45695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45695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45695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45695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45695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45695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45695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45695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45695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45695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45695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45695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45695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45695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45695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45695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45695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45695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45695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45695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45695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45695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45695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45695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45695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45695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45695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45695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45695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45695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45695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45695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45695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45695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45695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45695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45695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45695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45695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45695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45695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45695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45695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45695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45695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45695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45695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45695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45695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45695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45695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>
      <c r="A529" t="inlineStr">
        <is>
          <t>A 3456-2025</t>
        </is>
      </c>
      <c r="B529" s="1" t="n">
        <v>45680</v>
      </c>
      <c r="C529" s="1" t="n">
        <v>45695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2025-02-07T16:16:00Z</dcterms:created>
  <dcterms:modified xmlns:dcterms="http://purl.org/dc/terms/" xmlns:xsi="http://www.w3.org/2001/XMLSchema-instance" xsi:type="dcterms:W3CDTF">2025-02-07T16:16:00Z</dcterms:modified>
</cp:coreProperties>
</file>