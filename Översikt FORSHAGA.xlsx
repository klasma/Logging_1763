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2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11246-2022</t>
        </is>
      </c>
      <c r="B2" s="1" t="n">
        <v>44629</v>
      </c>
      <c r="C2" s="1" t="n">
        <v>45666</v>
      </c>
      <c r="D2" t="inlineStr">
        <is>
          <t>VÄRMLANDS LÄN</t>
        </is>
      </c>
      <c r="E2" t="inlineStr">
        <is>
          <t>FORSHAGA</t>
        </is>
      </c>
      <c r="F2" t="inlineStr">
        <is>
          <t>Bergvik skog väst AB</t>
        </is>
      </c>
      <c r="G2" t="n">
        <v>10.4</v>
      </c>
      <c r="H2" t="n">
        <v>1</v>
      </c>
      <c r="I2" t="n">
        <v>6</v>
      </c>
      <c r="J2" t="n">
        <v>2</v>
      </c>
      <c r="K2" t="n">
        <v>0</v>
      </c>
      <c r="L2" t="n">
        <v>0</v>
      </c>
      <c r="M2" t="n">
        <v>0</v>
      </c>
      <c r="N2" t="n">
        <v>0</v>
      </c>
      <c r="O2" t="n">
        <v>2</v>
      </c>
      <c r="P2" t="n">
        <v>0</v>
      </c>
      <c r="Q2" t="n">
        <v>9</v>
      </c>
      <c r="R2" s="2" t="inlineStr">
        <is>
          <t>Dofttaggsvamp
Vippärt
Fällmossa
Guldlockmossa
Platt fjädermossa
Svart trolldruva
Trubbfjädermossa
Underviol
Blåsippa</t>
        </is>
      </c>
      <c r="S2">
        <f>HYPERLINK("https://klasma.github.io/Logging_1763/artfynd/A 11246-2022 artfynd.xlsx", "A 11246-2022")</f>
        <v/>
      </c>
      <c r="T2">
        <f>HYPERLINK("https://klasma.github.io/Logging_1763/kartor/A 11246-2022 karta.png", "A 11246-2022")</f>
        <v/>
      </c>
      <c r="V2">
        <f>HYPERLINK("https://klasma.github.io/Logging_1763/klagomål/A 11246-2022 FSC-klagomål.docx", "A 11246-2022")</f>
        <v/>
      </c>
      <c r="W2">
        <f>HYPERLINK("https://klasma.github.io/Logging_1763/klagomålsmail/A 11246-2022 FSC-klagomål mail.docx", "A 11246-2022")</f>
        <v/>
      </c>
      <c r="X2">
        <f>HYPERLINK("https://klasma.github.io/Logging_1763/tillsyn/A 11246-2022 tillsynsbegäran.docx", "A 11246-2022")</f>
        <v/>
      </c>
      <c r="Y2">
        <f>HYPERLINK("https://klasma.github.io/Logging_1763/tillsynsmail/A 11246-2022 tillsynsbegäran mail.docx", "A 11246-2022")</f>
        <v/>
      </c>
    </row>
    <row r="3" ht="15" customHeight="1">
      <c r="A3" t="inlineStr">
        <is>
          <t>A 6858-2021</t>
        </is>
      </c>
      <c r="B3" s="1" t="n">
        <v>44237</v>
      </c>
      <c r="C3" s="1" t="n">
        <v>45666</v>
      </c>
      <c r="D3" t="inlineStr">
        <is>
          <t>VÄRMLANDS LÄN</t>
        </is>
      </c>
      <c r="E3" t="inlineStr">
        <is>
          <t>FORSHAGA</t>
        </is>
      </c>
      <c r="F3" t="inlineStr">
        <is>
          <t>Bergvik skog väst AB</t>
        </is>
      </c>
      <c r="G3" t="n">
        <v>7.9</v>
      </c>
      <c r="H3" t="n">
        <v>0</v>
      </c>
      <c r="I3" t="n">
        <v>4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6</v>
      </c>
      <c r="R3" s="2" t="inlineStr">
        <is>
          <t>Cis submicans
Glansskenknäppare
Dorcatoma dresdensis
Robust tickgnagare
Thomsons trägnagare
Tvåtandad aspborre</t>
        </is>
      </c>
      <c r="S3">
        <f>HYPERLINK("https://klasma.github.io/Logging_1763/artfynd/A 6858-2021 artfynd.xlsx", "A 6858-2021")</f>
        <v/>
      </c>
      <c r="T3">
        <f>HYPERLINK("https://klasma.github.io/Logging_1763/kartor/A 6858-2021 karta.png", "A 6858-2021")</f>
        <v/>
      </c>
      <c r="V3">
        <f>HYPERLINK("https://klasma.github.io/Logging_1763/klagomål/A 6858-2021 FSC-klagomål.docx", "A 6858-2021")</f>
        <v/>
      </c>
      <c r="W3">
        <f>HYPERLINK("https://klasma.github.io/Logging_1763/klagomålsmail/A 6858-2021 FSC-klagomål mail.docx", "A 6858-2021")</f>
        <v/>
      </c>
      <c r="X3">
        <f>HYPERLINK("https://klasma.github.io/Logging_1763/tillsyn/A 6858-2021 tillsynsbegäran.docx", "A 6858-2021")</f>
        <v/>
      </c>
      <c r="Y3">
        <f>HYPERLINK("https://klasma.github.io/Logging_1763/tillsynsmail/A 6858-2021 tillsynsbegäran mail.docx", "A 6858-2021")</f>
        <v/>
      </c>
    </row>
    <row r="4" ht="15" customHeight="1">
      <c r="A4" t="inlineStr">
        <is>
          <t>A 9931-2021</t>
        </is>
      </c>
      <c r="B4" s="1" t="n">
        <v>44253</v>
      </c>
      <c r="C4" s="1" t="n">
        <v>45666</v>
      </c>
      <c r="D4" t="inlineStr">
        <is>
          <t>VÄRMLANDS LÄN</t>
        </is>
      </c>
      <c r="E4" t="inlineStr">
        <is>
          <t>FORSHAGA</t>
        </is>
      </c>
      <c r="F4" t="inlineStr">
        <is>
          <t>Bergvik skog väst AB</t>
        </is>
      </c>
      <c r="G4" t="n">
        <v>23.8</v>
      </c>
      <c r="H4" t="n">
        <v>5</v>
      </c>
      <c r="I4" t="n">
        <v>0</v>
      </c>
      <c r="J4" t="n">
        <v>0</v>
      </c>
      <c r="K4" t="n">
        <v>1</v>
      </c>
      <c r="L4" t="n">
        <v>0</v>
      </c>
      <c r="M4" t="n">
        <v>0</v>
      </c>
      <c r="N4" t="n">
        <v>0</v>
      </c>
      <c r="O4" t="n">
        <v>1</v>
      </c>
      <c r="P4" t="n">
        <v>1</v>
      </c>
      <c r="Q4" t="n">
        <v>5</v>
      </c>
      <c r="R4" s="2" t="inlineStr">
        <is>
          <t>Lappuggla
Större vattensalamander
Åkergroda
Mindre vattensalamander
Vanlig padda</t>
        </is>
      </c>
      <c r="S4">
        <f>HYPERLINK("https://klasma.github.io/Logging_1763/artfynd/A 9931-2021 artfynd.xlsx", "A 9931-2021")</f>
        <v/>
      </c>
      <c r="T4">
        <f>HYPERLINK("https://klasma.github.io/Logging_1763/kartor/A 9931-2021 karta.png", "A 9931-2021")</f>
        <v/>
      </c>
      <c r="V4">
        <f>HYPERLINK("https://klasma.github.io/Logging_1763/klagomål/A 9931-2021 FSC-klagomål.docx", "A 9931-2021")</f>
        <v/>
      </c>
      <c r="W4">
        <f>HYPERLINK("https://klasma.github.io/Logging_1763/klagomålsmail/A 9931-2021 FSC-klagomål mail.docx", "A 9931-2021")</f>
        <v/>
      </c>
      <c r="X4">
        <f>HYPERLINK("https://klasma.github.io/Logging_1763/tillsyn/A 9931-2021 tillsynsbegäran.docx", "A 9931-2021")</f>
        <v/>
      </c>
      <c r="Y4">
        <f>HYPERLINK("https://klasma.github.io/Logging_1763/tillsynsmail/A 9931-2021 tillsynsbegäran mail.docx", "A 9931-2021")</f>
        <v/>
      </c>
      <c r="Z4">
        <f>HYPERLINK("https://klasma.github.io/Logging_1763/fåglar/A 9931-2021 prioriterade fågelarter.docx", "A 9931-2021")</f>
        <v/>
      </c>
    </row>
    <row r="5" ht="15" customHeight="1">
      <c r="A5" t="inlineStr">
        <is>
          <t>A 18465-2024</t>
        </is>
      </c>
      <c r="B5" s="1" t="n">
        <v>45425</v>
      </c>
      <c r="C5" s="1" t="n">
        <v>45666</v>
      </c>
      <c r="D5" t="inlineStr">
        <is>
          <t>VÄRMLANDS LÄN</t>
        </is>
      </c>
      <c r="E5" t="inlineStr">
        <is>
          <t>FORSHAGA</t>
        </is>
      </c>
      <c r="F5" t="inlineStr">
        <is>
          <t>Bergvik skog väst AB</t>
        </is>
      </c>
      <c r="G5" t="n">
        <v>2.9</v>
      </c>
      <c r="H5" t="n">
        <v>1</v>
      </c>
      <c r="I5" t="n">
        <v>2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5</v>
      </c>
      <c r="R5" s="2" t="inlineStr">
        <is>
          <t>Granticka
Gränsticka
Svart trolldruva
Vedticka
Blåsippa</t>
        </is>
      </c>
      <c r="S5">
        <f>HYPERLINK("https://klasma.github.io/Logging_1763/artfynd/A 18465-2024 artfynd.xlsx", "A 18465-2024")</f>
        <v/>
      </c>
      <c r="T5">
        <f>HYPERLINK("https://klasma.github.io/Logging_1763/kartor/A 18465-2024 karta.png", "A 18465-2024")</f>
        <v/>
      </c>
      <c r="V5">
        <f>HYPERLINK("https://klasma.github.io/Logging_1763/klagomål/A 18465-2024 FSC-klagomål.docx", "A 18465-2024")</f>
        <v/>
      </c>
      <c r="W5">
        <f>HYPERLINK("https://klasma.github.io/Logging_1763/klagomålsmail/A 18465-2024 FSC-klagomål mail.docx", "A 18465-2024")</f>
        <v/>
      </c>
      <c r="X5">
        <f>HYPERLINK("https://klasma.github.io/Logging_1763/tillsyn/A 18465-2024 tillsynsbegäran.docx", "A 18465-2024")</f>
        <v/>
      </c>
      <c r="Y5">
        <f>HYPERLINK("https://klasma.github.io/Logging_1763/tillsynsmail/A 18465-2024 tillsynsbegäran mail.docx", "A 18465-2024")</f>
        <v/>
      </c>
    </row>
    <row r="6" ht="15" customHeight="1">
      <c r="A6" t="inlineStr">
        <is>
          <t>A 8325-2021</t>
        </is>
      </c>
      <c r="B6" s="1" t="n">
        <v>44244</v>
      </c>
      <c r="C6" s="1" t="n">
        <v>45666</v>
      </c>
      <c r="D6" t="inlineStr">
        <is>
          <t>VÄRMLANDS LÄN</t>
        </is>
      </c>
      <c r="E6" t="inlineStr">
        <is>
          <t>FORSHAGA</t>
        </is>
      </c>
      <c r="F6" t="inlineStr">
        <is>
          <t>Bergvik skog väst AB</t>
        </is>
      </c>
      <c r="G6" t="n">
        <v>12.8</v>
      </c>
      <c r="H6" t="n">
        <v>3</v>
      </c>
      <c r="I6" t="n">
        <v>2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4</v>
      </c>
      <c r="R6" s="2" t="inlineStr">
        <is>
          <t>Dvärghäxört
Nästrot
Nattviol
Blåsippa</t>
        </is>
      </c>
      <c r="S6">
        <f>HYPERLINK("https://klasma.github.io/Logging_1763/artfynd/A 8325-2021 artfynd.xlsx", "A 8325-2021")</f>
        <v/>
      </c>
      <c r="T6">
        <f>HYPERLINK("https://klasma.github.io/Logging_1763/kartor/A 8325-2021 karta.png", "A 8325-2021")</f>
        <v/>
      </c>
      <c r="V6">
        <f>HYPERLINK("https://klasma.github.io/Logging_1763/klagomål/A 8325-2021 FSC-klagomål.docx", "A 8325-2021")</f>
        <v/>
      </c>
      <c r="W6">
        <f>HYPERLINK("https://klasma.github.io/Logging_1763/klagomålsmail/A 8325-2021 FSC-klagomål mail.docx", "A 8325-2021")</f>
        <v/>
      </c>
      <c r="X6">
        <f>HYPERLINK("https://klasma.github.io/Logging_1763/tillsyn/A 8325-2021 tillsynsbegäran.docx", "A 8325-2021")</f>
        <v/>
      </c>
      <c r="Y6">
        <f>HYPERLINK("https://klasma.github.io/Logging_1763/tillsynsmail/A 8325-2021 tillsynsbegäran mail.docx", "A 8325-2021")</f>
        <v/>
      </c>
    </row>
    <row r="7" ht="15" customHeight="1">
      <c r="A7" t="inlineStr">
        <is>
          <t>A 69035-2020</t>
        </is>
      </c>
      <c r="B7" s="1" t="n">
        <v>44188</v>
      </c>
      <c r="C7" s="1" t="n">
        <v>45666</v>
      </c>
      <c r="D7" t="inlineStr">
        <is>
          <t>VÄRMLANDS LÄN</t>
        </is>
      </c>
      <c r="E7" t="inlineStr">
        <is>
          <t>FORSHAGA</t>
        </is>
      </c>
      <c r="F7" t="inlineStr">
        <is>
          <t>Bergvik skog väst AB</t>
        </is>
      </c>
      <c r="G7" t="n">
        <v>2.1</v>
      </c>
      <c r="H7" t="n">
        <v>3</v>
      </c>
      <c r="I7" t="n">
        <v>0</v>
      </c>
      <c r="J7" t="n">
        <v>2</v>
      </c>
      <c r="K7" t="n">
        <v>1</v>
      </c>
      <c r="L7" t="n">
        <v>0</v>
      </c>
      <c r="M7" t="n">
        <v>0</v>
      </c>
      <c r="N7" t="n">
        <v>0</v>
      </c>
      <c r="O7" t="n">
        <v>3</v>
      </c>
      <c r="P7" t="n">
        <v>1</v>
      </c>
      <c r="Q7" t="n">
        <v>3</v>
      </c>
      <c r="R7" s="2" t="inlineStr">
        <is>
          <t>Knärot
Spillkråka
Tretåig hackspett</t>
        </is>
      </c>
      <c r="S7">
        <f>HYPERLINK("https://klasma.github.io/Logging_1763/artfynd/A 69035-2020 artfynd.xlsx", "A 69035-2020")</f>
        <v/>
      </c>
      <c r="T7">
        <f>HYPERLINK("https://klasma.github.io/Logging_1763/kartor/A 69035-2020 karta.png", "A 69035-2020")</f>
        <v/>
      </c>
      <c r="U7">
        <f>HYPERLINK("https://klasma.github.io/Logging_1763/knärot/A 69035-2020 karta knärot.png", "A 69035-2020")</f>
        <v/>
      </c>
      <c r="V7">
        <f>HYPERLINK("https://klasma.github.io/Logging_1763/klagomål/A 69035-2020 FSC-klagomål.docx", "A 69035-2020")</f>
        <v/>
      </c>
      <c r="W7">
        <f>HYPERLINK("https://klasma.github.io/Logging_1763/klagomålsmail/A 69035-2020 FSC-klagomål mail.docx", "A 69035-2020")</f>
        <v/>
      </c>
      <c r="X7">
        <f>HYPERLINK("https://klasma.github.io/Logging_1763/tillsyn/A 69035-2020 tillsynsbegäran.docx", "A 69035-2020")</f>
        <v/>
      </c>
      <c r="Y7">
        <f>HYPERLINK("https://klasma.github.io/Logging_1763/tillsynsmail/A 69035-2020 tillsynsbegäran mail.docx", "A 69035-2020")</f>
        <v/>
      </c>
      <c r="Z7">
        <f>HYPERLINK("https://klasma.github.io/Logging_1763/fåglar/A 69035-2020 prioriterade fågelarter.docx", "A 69035-2020")</f>
        <v/>
      </c>
    </row>
    <row r="8" ht="15" customHeight="1">
      <c r="A8" t="inlineStr">
        <is>
          <t>A 3713-2024</t>
        </is>
      </c>
      <c r="B8" s="1" t="n">
        <v>45321</v>
      </c>
      <c r="C8" s="1" t="n">
        <v>45666</v>
      </c>
      <c r="D8" t="inlineStr">
        <is>
          <t>VÄRMLANDS LÄN</t>
        </is>
      </c>
      <c r="E8" t="inlineStr">
        <is>
          <t>FORSHAGA</t>
        </is>
      </c>
      <c r="G8" t="n">
        <v>6.1</v>
      </c>
      <c r="H8" t="n">
        <v>3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3</v>
      </c>
      <c r="R8" s="2" t="inlineStr">
        <is>
          <t>Åkergroda
Mindre vattensalamander
Vanlig padda</t>
        </is>
      </c>
      <c r="S8">
        <f>HYPERLINK("https://klasma.github.io/Logging_1763/artfynd/A 3713-2024 artfynd.xlsx", "A 3713-2024")</f>
        <v/>
      </c>
      <c r="T8">
        <f>HYPERLINK("https://klasma.github.io/Logging_1763/kartor/A 3713-2024 karta.png", "A 3713-2024")</f>
        <v/>
      </c>
      <c r="V8">
        <f>HYPERLINK("https://klasma.github.io/Logging_1763/klagomål/A 3713-2024 FSC-klagomål.docx", "A 3713-2024")</f>
        <v/>
      </c>
      <c r="W8">
        <f>HYPERLINK("https://klasma.github.io/Logging_1763/klagomålsmail/A 3713-2024 FSC-klagomål mail.docx", "A 3713-2024")</f>
        <v/>
      </c>
      <c r="X8">
        <f>HYPERLINK("https://klasma.github.io/Logging_1763/tillsyn/A 3713-2024 tillsynsbegäran.docx", "A 3713-2024")</f>
        <v/>
      </c>
      <c r="Y8">
        <f>HYPERLINK("https://klasma.github.io/Logging_1763/tillsynsmail/A 3713-2024 tillsynsbegäran mail.docx", "A 3713-2024")</f>
        <v/>
      </c>
    </row>
    <row r="9" ht="15" customHeight="1">
      <c r="A9" t="inlineStr">
        <is>
          <t>A 51072-2021</t>
        </is>
      </c>
      <c r="B9" s="1" t="n">
        <v>44461</v>
      </c>
      <c r="C9" s="1" t="n">
        <v>45666</v>
      </c>
      <c r="D9" t="inlineStr">
        <is>
          <t>VÄRMLANDS LÄN</t>
        </is>
      </c>
      <c r="E9" t="inlineStr">
        <is>
          <t>FORSHAGA</t>
        </is>
      </c>
      <c r="G9" t="n">
        <v>19.6</v>
      </c>
      <c r="H9" t="n">
        <v>1</v>
      </c>
      <c r="I9" t="n">
        <v>0</v>
      </c>
      <c r="J9" t="n">
        <v>2</v>
      </c>
      <c r="K9" t="n">
        <v>0</v>
      </c>
      <c r="L9" t="n">
        <v>0</v>
      </c>
      <c r="M9" t="n">
        <v>0</v>
      </c>
      <c r="N9" t="n">
        <v>0</v>
      </c>
      <c r="O9" t="n">
        <v>2</v>
      </c>
      <c r="P9" t="n">
        <v>0</v>
      </c>
      <c r="Q9" t="n">
        <v>2</v>
      </c>
      <c r="R9" s="2" t="inlineStr">
        <is>
          <t>Brun gräsfjäril
Violettkantad guldvinge</t>
        </is>
      </c>
      <c r="S9">
        <f>HYPERLINK("https://klasma.github.io/Logging_1763/artfynd/A 51072-2021 artfynd.xlsx", "A 51072-2021")</f>
        <v/>
      </c>
      <c r="T9">
        <f>HYPERLINK("https://klasma.github.io/Logging_1763/kartor/A 51072-2021 karta.png", "A 51072-2021")</f>
        <v/>
      </c>
      <c r="V9">
        <f>HYPERLINK("https://klasma.github.io/Logging_1763/klagomål/A 51072-2021 FSC-klagomål.docx", "A 51072-2021")</f>
        <v/>
      </c>
      <c r="W9">
        <f>HYPERLINK("https://klasma.github.io/Logging_1763/klagomålsmail/A 51072-2021 FSC-klagomål mail.docx", "A 51072-2021")</f>
        <v/>
      </c>
      <c r="X9">
        <f>HYPERLINK("https://klasma.github.io/Logging_1763/tillsyn/A 51072-2021 tillsynsbegäran.docx", "A 51072-2021")</f>
        <v/>
      </c>
      <c r="Y9">
        <f>HYPERLINK("https://klasma.github.io/Logging_1763/tillsynsmail/A 51072-2021 tillsynsbegäran mail.docx", "A 51072-2021")</f>
        <v/>
      </c>
    </row>
    <row r="10" ht="15" customHeight="1">
      <c r="A10" t="inlineStr">
        <is>
          <t>A 66072-2021</t>
        </is>
      </c>
      <c r="B10" s="1" t="n">
        <v>44517</v>
      </c>
      <c r="C10" s="1" t="n">
        <v>45666</v>
      </c>
      <c r="D10" t="inlineStr">
        <is>
          <t>VÄRMLANDS LÄN</t>
        </is>
      </c>
      <c r="E10" t="inlineStr">
        <is>
          <t>FORSHAGA</t>
        </is>
      </c>
      <c r="F10" t="inlineStr">
        <is>
          <t>Bergvik skog väst AB</t>
        </is>
      </c>
      <c r="G10" t="n">
        <v>2</v>
      </c>
      <c r="H10" t="n">
        <v>1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s="2" t="inlineStr">
        <is>
          <t>Svart trolldruva
Blåsippa</t>
        </is>
      </c>
      <c r="S10">
        <f>HYPERLINK("https://klasma.github.io/Logging_1763/artfynd/A 66072-2021 artfynd.xlsx", "A 66072-2021")</f>
        <v/>
      </c>
      <c r="T10">
        <f>HYPERLINK("https://klasma.github.io/Logging_1763/kartor/A 66072-2021 karta.png", "A 66072-2021")</f>
        <v/>
      </c>
      <c r="V10">
        <f>HYPERLINK("https://klasma.github.io/Logging_1763/klagomål/A 66072-2021 FSC-klagomål.docx", "A 66072-2021")</f>
        <v/>
      </c>
      <c r="W10">
        <f>HYPERLINK("https://klasma.github.io/Logging_1763/klagomålsmail/A 66072-2021 FSC-klagomål mail.docx", "A 66072-2021")</f>
        <v/>
      </c>
      <c r="X10">
        <f>HYPERLINK("https://klasma.github.io/Logging_1763/tillsyn/A 66072-2021 tillsynsbegäran.docx", "A 66072-2021")</f>
        <v/>
      </c>
      <c r="Y10">
        <f>HYPERLINK("https://klasma.github.io/Logging_1763/tillsynsmail/A 66072-2021 tillsynsbegäran mail.docx", "A 66072-2021")</f>
        <v/>
      </c>
    </row>
    <row r="11" ht="15" customHeight="1">
      <c r="A11" t="inlineStr">
        <is>
          <t>A 72989-2021</t>
        </is>
      </c>
      <c r="B11" s="1" t="n">
        <v>44549</v>
      </c>
      <c r="C11" s="1" t="n">
        <v>45666</v>
      </c>
      <c r="D11" t="inlineStr">
        <is>
          <t>VÄRMLANDS LÄN</t>
        </is>
      </c>
      <c r="E11" t="inlineStr">
        <is>
          <t>FORSHAGA</t>
        </is>
      </c>
      <c r="G11" t="n">
        <v>3.3</v>
      </c>
      <c r="H11" t="n">
        <v>2</v>
      </c>
      <c r="I11" t="n">
        <v>0</v>
      </c>
      <c r="J11" t="n">
        <v>1</v>
      </c>
      <c r="K11" t="n">
        <v>1</v>
      </c>
      <c r="L11" t="n">
        <v>0</v>
      </c>
      <c r="M11" t="n">
        <v>0</v>
      </c>
      <c r="N11" t="n">
        <v>0</v>
      </c>
      <c r="O11" t="n">
        <v>2</v>
      </c>
      <c r="P11" t="n">
        <v>1</v>
      </c>
      <c r="Q11" t="n">
        <v>2</v>
      </c>
      <c r="R11" s="2" t="inlineStr">
        <is>
          <t>Kungsfiskare
Mindre hackspett</t>
        </is>
      </c>
      <c r="S11">
        <f>HYPERLINK("https://klasma.github.io/Logging_1763/artfynd/A 72989-2021 artfynd.xlsx", "A 72989-2021")</f>
        <v/>
      </c>
      <c r="T11">
        <f>HYPERLINK("https://klasma.github.io/Logging_1763/kartor/A 72989-2021 karta.png", "A 72989-2021")</f>
        <v/>
      </c>
      <c r="V11">
        <f>HYPERLINK("https://klasma.github.io/Logging_1763/klagomål/A 72989-2021 FSC-klagomål.docx", "A 72989-2021")</f>
        <v/>
      </c>
      <c r="W11">
        <f>HYPERLINK("https://klasma.github.io/Logging_1763/klagomålsmail/A 72989-2021 FSC-klagomål mail.docx", "A 72989-2021")</f>
        <v/>
      </c>
      <c r="X11">
        <f>HYPERLINK("https://klasma.github.io/Logging_1763/tillsyn/A 72989-2021 tillsynsbegäran.docx", "A 72989-2021")</f>
        <v/>
      </c>
      <c r="Y11">
        <f>HYPERLINK("https://klasma.github.io/Logging_1763/tillsynsmail/A 72989-2021 tillsynsbegäran mail.docx", "A 72989-2021")</f>
        <v/>
      </c>
      <c r="Z11">
        <f>HYPERLINK("https://klasma.github.io/Logging_1763/fåglar/A 72989-2021 prioriterade fågelarter.docx", "A 72989-2021")</f>
        <v/>
      </c>
    </row>
    <row r="12" ht="15" customHeight="1">
      <c r="A12" t="inlineStr">
        <is>
          <t>A 53000-2023</t>
        </is>
      </c>
      <c r="B12" s="1" t="n">
        <v>45226</v>
      </c>
      <c r="C12" s="1" t="n">
        <v>45666</v>
      </c>
      <c r="D12" t="inlineStr">
        <is>
          <t>VÄRMLANDS LÄN</t>
        </is>
      </c>
      <c r="E12" t="inlineStr">
        <is>
          <t>FORSHAGA</t>
        </is>
      </c>
      <c r="F12" t="inlineStr">
        <is>
          <t>Bergvik skog väst AB</t>
        </is>
      </c>
      <c r="G12" t="n">
        <v>13.2</v>
      </c>
      <c r="H12" t="n">
        <v>1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2</v>
      </c>
      <c r="R12" s="2" t="inlineStr">
        <is>
          <t>Svart trolldruva
Blåsippa</t>
        </is>
      </c>
      <c r="S12">
        <f>HYPERLINK("https://klasma.github.io/Logging_1763/artfynd/A 53000-2023 artfynd.xlsx", "A 53000-2023")</f>
        <v/>
      </c>
      <c r="T12">
        <f>HYPERLINK("https://klasma.github.io/Logging_1763/kartor/A 53000-2023 karta.png", "A 53000-2023")</f>
        <v/>
      </c>
      <c r="V12">
        <f>HYPERLINK("https://klasma.github.io/Logging_1763/klagomål/A 53000-2023 FSC-klagomål.docx", "A 53000-2023")</f>
        <v/>
      </c>
      <c r="W12">
        <f>HYPERLINK("https://klasma.github.io/Logging_1763/klagomålsmail/A 53000-2023 FSC-klagomål mail.docx", "A 53000-2023")</f>
        <v/>
      </c>
      <c r="X12">
        <f>HYPERLINK("https://klasma.github.io/Logging_1763/tillsyn/A 53000-2023 tillsynsbegäran.docx", "A 53000-2023")</f>
        <v/>
      </c>
      <c r="Y12">
        <f>HYPERLINK("https://klasma.github.io/Logging_1763/tillsynsmail/A 53000-2023 tillsynsbegäran mail.docx", "A 53000-2023")</f>
        <v/>
      </c>
    </row>
    <row r="13" ht="15" customHeight="1">
      <c r="A13" t="inlineStr">
        <is>
          <t>A 61722-2023</t>
        </is>
      </c>
      <c r="B13" s="1" t="n">
        <v>45265</v>
      </c>
      <c r="C13" s="1" t="n">
        <v>45666</v>
      </c>
      <c r="D13" t="inlineStr">
        <is>
          <t>VÄRMLANDS LÄN</t>
        </is>
      </c>
      <c r="E13" t="inlineStr">
        <is>
          <t>FORSHAGA</t>
        </is>
      </c>
      <c r="G13" t="n">
        <v>1.7</v>
      </c>
      <c r="H13" t="n">
        <v>2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2</v>
      </c>
      <c r="R13" s="2" t="inlineStr">
        <is>
          <t>Spillkråka
Vanlig groda</t>
        </is>
      </c>
      <c r="S13">
        <f>HYPERLINK("https://klasma.github.io/Logging_1763/artfynd/A 61722-2023 artfynd.xlsx", "A 61722-2023")</f>
        <v/>
      </c>
      <c r="T13">
        <f>HYPERLINK("https://klasma.github.io/Logging_1763/kartor/A 61722-2023 karta.png", "A 61722-2023")</f>
        <v/>
      </c>
      <c r="V13">
        <f>HYPERLINK("https://klasma.github.io/Logging_1763/klagomål/A 61722-2023 FSC-klagomål.docx", "A 61722-2023")</f>
        <v/>
      </c>
      <c r="W13">
        <f>HYPERLINK("https://klasma.github.io/Logging_1763/klagomålsmail/A 61722-2023 FSC-klagomål mail.docx", "A 61722-2023")</f>
        <v/>
      </c>
      <c r="X13">
        <f>HYPERLINK("https://klasma.github.io/Logging_1763/tillsyn/A 61722-2023 tillsynsbegäran.docx", "A 61722-2023")</f>
        <v/>
      </c>
      <c r="Y13">
        <f>HYPERLINK("https://klasma.github.io/Logging_1763/tillsynsmail/A 61722-2023 tillsynsbegäran mail.docx", "A 61722-2023")</f>
        <v/>
      </c>
      <c r="Z13">
        <f>HYPERLINK("https://klasma.github.io/Logging_1763/fåglar/A 61722-2023 prioriterade fågelarter.docx", "A 61722-2023")</f>
        <v/>
      </c>
    </row>
    <row r="14" ht="15" customHeight="1">
      <c r="A14" t="inlineStr">
        <is>
          <t>A 17288-2024</t>
        </is>
      </c>
      <c r="B14" s="1" t="n">
        <v>45414</v>
      </c>
      <c r="C14" s="1" t="n">
        <v>45666</v>
      </c>
      <c r="D14" t="inlineStr">
        <is>
          <t>VÄRMLANDS LÄN</t>
        </is>
      </c>
      <c r="E14" t="inlineStr">
        <is>
          <t>FORSHAGA</t>
        </is>
      </c>
      <c r="F14" t="inlineStr">
        <is>
          <t>Bergvik skog väst AB</t>
        </is>
      </c>
      <c r="G14" t="n">
        <v>20.8</v>
      </c>
      <c r="H14" t="n">
        <v>2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2</v>
      </c>
      <c r="R14" s="2" t="inlineStr">
        <is>
          <t>Skogsknipprot
Blåsippa</t>
        </is>
      </c>
      <c r="S14">
        <f>HYPERLINK("https://klasma.github.io/Logging_1763/artfynd/A 17288-2024 artfynd.xlsx", "A 17288-2024")</f>
        <v/>
      </c>
      <c r="T14">
        <f>HYPERLINK("https://klasma.github.io/Logging_1763/kartor/A 17288-2024 karta.png", "A 17288-2024")</f>
        <v/>
      </c>
      <c r="V14">
        <f>HYPERLINK("https://klasma.github.io/Logging_1763/klagomål/A 17288-2024 FSC-klagomål.docx", "A 17288-2024")</f>
        <v/>
      </c>
      <c r="W14">
        <f>HYPERLINK("https://klasma.github.io/Logging_1763/klagomålsmail/A 17288-2024 FSC-klagomål mail.docx", "A 17288-2024")</f>
        <v/>
      </c>
      <c r="X14">
        <f>HYPERLINK("https://klasma.github.io/Logging_1763/tillsyn/A 17288-2024 tillsynsbegäran.docx", "A 17288-2024")</f>
        <v/>
      </c>
      <c r="Y14">
        <f>HYPERLINK("https://klasma.github.io/Logging_1763/tillsynsmail/A 17288-2024 tillsynsbegäran mail.docx", "A 17288-2024")</f>
        <v/>
      </c>
    </row>
    <row r="15" ht="15" customHeight="1">
      <c r="A15" t="inlineStr">
        <is>
          <t>A 17953-2024</t>
        </is>
      </c>
      <c r="B15" s="1" t="n">
        <v>45419</v>
      </c>
      <c r="C15" s="1" t="n">
        <v>45666</v>
      </c>
      <c r="D15" t="inlineStr">
        <is>
          <t>VÄRMLANDS LÄN</t>
        </is>
      </c>
      <c r="E15" t="inlineStr">
        <is>
          <t>FORSHAGA</t>
        </is>
      </c>
      <c r="F15" t="inlineStr">
        <is>
          <t>Bergvik skog väst AB</t>
        </is>
      </c>
      <c r="G15" t="n">
        <v>3.2</v>
      </c>
      <c r="H15" t="n">
        <v>0</v>
      </c>
      <c r="I15" t="n">
        <v>2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2</v>
      </c>
      <c r="R15" s="2" t="inlineStr">
        <is>
          <t>Svart trolldruva
Tibast</t>
        </is>
      </c>
      <c r="S15">
        <f>HYPERLINK("https://klasma.github.io/Logging_1763/artfynd/A 17953-2024 artfynd.xlsx", "A 17953-2024")</f>
        <v/>
      </c>
      <c r="T15">
        <f>HYPERLINK("https://klasma.github.io/Logging_1763/kartor/A 17953-2024 karta.png", "A 17953-2024")</f>
        <v/>
      </c>
      <c r="V15">
        <f>HYPERLINK("https://klasma.github.io/Logging_1763/klagomål/A 17953-2024 FSC-klagomål.docx", "A 17953-2024")</f>
        <v/>
      </c>
      <c r="W15">
        <f>HYPERLINK("https://klasma.github.io/Logging_1763/klagomålsmail/A 17953-2024 FSC-klagomål mail.docx", "A 17953-2024")</f>
        <v/>
      </c>
      <c r="X15">
        <f>HYPERLINK("https://klasma.github.io/Logging_1763/tillsyn/A 17953-2024 tillsynsbegäran.docx", "A 17953-2024")</f>
        <v/>
      </c>
      <c r="Y15">
        <f>HYPERLINK("https://klasma.github.io/Logging_1763/tillsynsmail/A 17953-2024 tillsynsbegäran mail.docx", "A 17953-2024")</f>
        <v/>
      </c>
    </row>
    <row r="16" ht="15" customHeight="1">
      <c r="A16" t="inlineStr">
        <is>
          <t>A 28904-2019</t>
        </is>
      </c>
      <c r="B16" s="1" t="n">
        <v>43628</v>
      </c>
      <c r="C16" s="1" t="n">
        <v>45666</v>
      </c>
      <c r="D16" t="inlineStr">
        <is>
          <t>VÄRMLANDS LÄN</t>
        </is>
      </c>
      <c r="E16" t="inlineStr">
        <is>
          <t>FORSHAGA</t>
        </is>
      </c>
      <c r="G16" t="n">
        <v>6.7</v>
      </c>
      <c r="H16" t="n">
        <v>1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Lopplummer</t>
        </is>
      </c>
      <c r="S16">
        <f>HYPERLINK("https://klasma.github.io/Logging_1763/artfynd/A 28904-2019 artfynd.xlsx", "A 28904-2019")</f>
        <v/>
      </c>
      <c r="T16">
        <f>HYPERLINK("https://klasma.github.io/Logging_1763/kartor/A 28904-2019 karta.png", "A 28904-2019")</f>
        <v/>
      </c>
      <c r="V16">
        <f>HYPERLINK("https://klasma.github.io/Logging_1763/klagomål/A 28904-2019 FSC-klagomål.docx", "A 28904-2019")</f>
        <v/>
      </c>
      <c r="W16">
        <f>HYPERLINK("https://klasma.github.io/Logging_1763/klagomålsmail/A 28904-2019 FSC-klagomål mail.docx", "A 28904-2019")</f>
        <v/>
      </c>
      <c r="X16">
        <f>HYPERLINK("https://klasma.github.io/Logging_1763/tillsyn/A 28904-2019 tillsynsbegäran.docx", "A 28904-2019")</f>
        <v/>
      </c>
      <c r="Y16">
        <f>HYPERLINK("https://klasma.github.io/Logging_1763/tillsynsmail/A 28904-2019 tillsynsbegäran mail.docx", "A 28904-2019")</f>
        <v/>
      </c>
    </row>
    <row r="17" ht="15" customHeight="1">
      <c r="A17" t="inlineStr">
        <is>
          <t>A 176-2020</t>
        </is>
      </c>
      <c r="B17" s="1" t="n">
        <v>43833</v>
      </c>
      <c r="C17" s="1" t="n">
        <v>45666</v>
      </c>
      <c r="D17" t="inlineStr">
        <is>
          <t>VÄRMLANDS LÄN</t>
        </is>
      </c>
      <c r="E17" t="inlineStr">
        <is>
          <t>FORSHAGA</t>
        </is>
      </c>
      <c r="F17" t="inlineStr">
        <is>
          <t>Bergvik skog väst AB</t>
        </is>
      </c>
      <c r="G17" t="n">
        <v>8.300000000000001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Vanlig padda</t>
        </is>
      </c>
      <c r="S17">
        <f>HYPERLINK("https://klasma.github.io/Logging_1763/artfynd/A 176-2020 artfynd.xlsx", "A 176-2020")</f>
        <v/>
      </c>
      <c r="T17">
        <f>HYPERLINK("https://klasma.github.io/Logging_1763/kartor/A 176-2020 karta.png", "A 176-2020")</f>
        <v/>
      </c>
      <c r="V17">
        <f>HYPERLINK("https://klasma.github.io/Logging_1763/klagomål/A 176-2020 FSC-klagomål.docx", "A 176-2020")</f>
        <v/>
      </c>
      <c r="W17">
        <f>HYPERLINK("https://klasma.github.io/Logging_1763/klagomålsmail/A 176-2020 FSC-klagomål mail.docx", "A 176-2020")</f>
        <v/>
      </c>
      <c r="X17">
        <f>HYPERLINK("https://klasma.github.io/Logging_1763/tillsyn/A 176-2020 tillsynsbegäran.docx", "A 176-2020")</f>
        <v/>
      </c>
      <c r="Y17">
        <f>HYPERLINK("https://klasma.github.io/Logging_1763/tillsynsmail/A 176-2020 tillsynsbegäran mail.docx", "A 176-2020")</f>
        <v/>
      </c>
    </row>
    <row r="18" ht="15" customHeight="1">
      <c r="A18" t="inlineStr">
        <is>
          <t>A 2358-2020</t>
        </is>
      </c>
      <c r="B18" s="1" t="n">
        <v>43846</v>
      </c>
      <c r="C18" s="1" t="n">
        <v>45666</v>
      </c>
      <c r="D18" t="inlineStr">
        <is>
          <t>VÄRMLANDS LÄN</t>
        </is>
      </c>
      <c r="E18" t="inlineStr">
        <is>
          <t>FORSHAGA</t>
        </is>
      </c>
      <c r="F18" t="inlineStr">
        <is>
          <t>Bergvik skog väst AB</t>
        </is>
      </c>
      <c r="G18" t="n">
        <v>18.7</v>
      </c>
      <c r="H18" t="n">
        <v>1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Mattlummer</t>
        </is>
      </c>
      <c r="S18">
        <f>HYPERLINK("https://klasma.github.io/Logging_1763/artfynd/A 2358-2020 artfynd.xlsx", "A 2358-2020")</f>
        <v/>
      </c>
      <c r="T18">
        <f>HYPERLINK("https://klasma.github.io/Logging_1763/kartor/A 2358-2020 karta.png", "A 2358-2020")</f>
        <v/>
      </c>
      <c r="V18">
        <f>HYPERLINK("https://klasma.github.io/Logging_1763/klagomål/A 2358-2020 FSC-klagomål.docx", "A 2358-2020")</f>
        <v/>
      </c>
      <c r="W18">
        <f>HYPERLINK("https://klasma.github.io/Logging_1763/klagomålsmail/A 2358-2020 FSC-klagomål mail.docx", "A 2358-2020")</f>
        <v/>
      </c>
      <c r="X18">
        <f>HYPERLINK("https://klasma.github.io/Logging_1763/tillsyn/A 2358-2020 tillsynsbegäran.docx", "A 2358-2020")</f>
        <v/>
      </c>
      <c r="Y18">
        <f>HYPERLINK("https://klasma.github.io/Logging_1763/tillsynsmail/A 2358-2020 tillsynsbegäran mail.docx", "A 2358-2020")</f>
        <v/>
      </c>
    </row>
    <row r="19" ht="15" customHeight="1">
      <c r="A19" t="inlineStr">
        <is>
          <t>A 68077-2020</t>
        </is>
      </c>
      <c r="B19" s="1" t="n">
        <v>44183</v>
      </c>
      <c r="C19" s="1" t="n">
        <v>45666</v>
      </c>
      <c r="D19" t="inlineStr">
        <is>
          <t>VÄRMLANDS LÄN</t>
        </is>
      </c>
      <c r="E19" t="inlineStr">
        <is>
          <t>FORSHAGA</t>
        </is>
      </c>
      <c r="G19" t="n">
        <v>2.8</v>
      </c>
      <c r="H19" t="n">
        <v>1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Grönvit nattviol</t>
        </is>
      </c>
      <c r="S19">
        <f>HYPERLINK("https://klasma.github.io/Logging_1763/artfynd/A 68077-2020 artfynd.xlsx", "A 68077-2020")</f>
        <v/>
      </c>
      <c r="T19">
        <f>HYPERLINK("https://klasma.github.io/Logging_1763/kartor/A 68077-2020 karta.png", "A 68077-2020")</f>
        <v/>
      </c>
      <c r="V19">
        <f>HYPERLINK("https://klasma.github.io/Logging_1763/klagomål/A 68077-2020 FSC-klagomål.docx", "A 68077-2020")</f>
        <v/>
      </c>
      <c r="W19">
        <f>HYPERLINK("https://klasma.github.io/Logging_1763/klagomålsmail/A 68077-2020 FSC-klagomål mail.docx", "A 68077-2020")</f>
        <v/>
      </c>
      <c r="X19">
        <f>HYPERLINK("https://klasma.github.io/Logging_1763/tillsyn/A 68077-2020 tillsynsbegäran.docx", "A 68077-2020")</f>
        <v/>
      </c>
      <c r="Y19">
        <f>HYPERLINK("https://klasma.github.io/Logging_1763/tillsynsmail/A 68077-2020 tillsynsbegäran mail.docx", "A 68077-2020")</f>
        <v/>
      </c>
    </row>
    <row r="20" ht="15" customHeight="1">
      <c r="A20" t="inlineStr">
        <is>
          <t>A 38857-2021</t>
        </is>
      </c>
      <c r="B20" s="1" t="n">
        <v>44411</v>
      </c>
      <c r="C20" s="1" t="n">
        <v>45666</v>
      </c>
      <c r="D20" t="inlineStr">
        <is>
          <t>VÄRMLANDS LÄN</t>
        </is>
      </c>
      <c r="E20" t="inlineStr">
        <is>
          <t>FORSHAGA</t>
        </is>
      </c>
      <c r="F20" t="inlineStr">
        <is>
          <t>Bergvik skog väst AB</t>
        </is>
      </c>
      <c r="G20" t="n">
        <v>20.6</v>
      </c>
      <c r="H20" t="n">
        <v>0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Skogsklocka</t>
        </is>
      </c>
      <c r="S20">
        <f>HYPERLINK("https://klasma.github.io/Logging_1763/artfynd/A 38857-2021 artfynd.xlsx", "A 38857-2021")</f>
        <v/>
      </c>
      <c r="T20">
        <f>HYPERLINK("https://klasma.github.io/Logging_1763/kartor/A 38857-2021 karta.png", "A 38857-2021")</f>
        <v/>
      </c>
      <c r="V20">
        <f>HYPERLINK("https://klasma.github.io/Logging_1763/klagomål/A 38857-2021 FSC-klagomål.docx", "A 38857-2021")</f>
        <v/>
      </c>
      <c r="W20">
        <f>HYPERLINK("https://klasma.github.io/Logging_1763/klagomålsmail/A 38857-2021 FSC-klagomål mail.docx", "A 38857-2021")</f>
        <v/>
      </c>
      <c r="X20">
        <f>HYPERLINK("https://klasma.github.io/Logging_1763/tillsyn/A 38857-2021 tillsynsbegäran.docx", "A 38857-2021")</f>
        <v/>
      </c>
      <c r="Y20">
        <f>HYPERLINK("https://klasma.github.io/Logging_1763/tillsynsmail/A 38857-2021 tillsynsbegäran mail.docx", "A 38857-2021")</f>
        <v/>
      </c>
    </row>
    <row r="21" ht="15" customHeight="1">
      <c r="A21" t="inlineStr">
        <is>
          <t>A 6294-2022</t>
        </is>
      </c>
      <c r="B21" s="1" t="n">
        <v>44601</v>
      </c>
      <c r="C21" s="1" t="n">
        <v>45666</v>
      </c>
      <c r="D21" t="inlineStr">
        <is>
          <t>VÄRMLANDS LÄN</t>
        </is>
      </c>
      <c r="E21" t="inlineStr">
        <is>
          <t>FORSHAGA</t>
        </is>
      </c>
      <c r="G21" t="n">
        <v>3.2</v>
      </c>
      <c r="H21" t="n">
        <v>1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Spillkråka</t>
        </is>
      </c>
      <c r="S21">
        <f>HYPERLINK("https://klasma.github.io/Logging_1763/artfynd/A 6294-2022 artfynd.xlsx", "A 6294-2022")</f>
        <v/>
      </c>
      <c r="T21">
        <f>HYPERLINK("https://klasma.github.io/Logging_1763/kartor/A 6294-2022 karta.png", "A 6294-2022")</f>
        <v/>
      </c>
      <c r="V21">
        <f>HYPERLINK("https://klasma.github.io/Logging_1763/klagomål/A 6294-2022 FSC-klagomål.docx", "A 6294-2022")</f>
        <v/>
      </c>
      <c r="W21">
        <f>HYPERLINK("https://klasma.github.io/Logging_1763/klagomålsmail/A 6294-2022 FSC-klagomål mail.docx", "A 6294-2022")</f>
        <v/>
      </c>
      <c r="X21">
        <f>HYPERLINK("https://klasma.github.io/Logging_1763/tillsyn/A 6294-2022 tillsynsbegäran.docx", "A 6294-2022")</f>
        <v/>
      </c>
      <c r="Y21">
        <f>HYPERLINK("https://klasma.github.io/Logging_1763/tillsynsmail/A 6294-2022 tillsynsbegäran mail.docx", "A 6294-2022")</f>
        <v/>
      </c>
      <c r="Z21">
        <f>HYPERLINK("https://klasma.github.io/Logging_1763/fåglar/A 6294-2022 prioriterade fågelarter.docx", "A 6294-2022")</f>
        <v/>
      </c>
    </row>
    <row r="22" ht="15" customHeight="1">
      <c r="A22" t="inlineStr">
        <is>
          <t>A 14114-2022</t>
        </is>
      </c>
      <c r="B22" s="1" t="n">
        <v>44651</v>
      </c>
      <c r="C22" s="1" t="n">
        <v>45666</v>
      </c>
      <c r="D22" t="inlineStr">
        <is>
          <t>VÄRMLANDS LÄN</t>
        </is>
      </c>
      <c r="E22" t="inlineStr">
        <is>
          <t>FORSHAGA</t>
        </is>
      </c>
      <c r="F22" t="inlineStr">
        <is>
          <t>Bergvik skog väst AB</t>
        </is>
      </c>
      <c r="G22" t="n">
        <v>25.1</v>
      </c>
      <c r="H22" t="n">
        <v>0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Sotnätfjäril</t>
        </is>
      </c>
      <c r="S22">
        <f>HYPERLINK("https://klasma.github.io/Logging_1763/artfynd/A 14114-2022 artfynd.xlsx", "A 14114-2022")</f>
        <v/>
      </c>
      <c r="T22">
        <f>HYPERLINK("https://klasma.github.io/Logging_1763/kartor/A 14114-2022 karta.png", "A 14114-2022")</f>
        <v/>
      </c>
      <c r="V22">
        <f>HYPERLINK("https://klasma.github.io/Logging_1763/klagomål/A 14114-2022 FSC-klagomål.docx", "A 14114-2022")</f>
        <v/>
      </c>
      <c r="W22">
        <f>HYPERLINK("https://klasma.github.io/Logging_1763/klagomålsmail/A 14114-2022 FSC-klagomål mail.docx", "A 14114-2022")</f>
        <v/>
      </c>
      <c r="X22">
        <f>HYPERLINK("https://klasma.github.io/Logging_1763/tillsyn/A 14114-2022 tillsynsbegäran.docx", "A 14114-2022")</f>
        <v/>
      </c>
      <c r="Y22">
        <f>HYPERLINK("https://klasma.github.io/Logging_1763/tillsynsmail/A 14114-2022 tillsynsbegäran mail.docx", "A 14114-2022")</f>
        <v/>
      </c>
    </row>
    <row r="23" ht="15" customHeight="1">
      <c r="A23" t="inlineStr">
        <is>
          <t>A 26233-2022</t>
        </is>
      </c>
      <c r="B23" s="1" t="n">
        <v>44735</v>
      </c>
      <c r="C23" s="1" t="n">
        <v>45666</v>
      </c>
      <c r="D23" t="inlineStr">
        <is>
          <t>VÄRMLANDS LÄN</t>
        </is>
      </c>
      <c r="E23" t="inlineStr">
        <is>
          <t>FORSHAGA</t>
        </is>
      </c>
      <c r="F23" t="inlineStr">
        <is>
          <t>Bergvik skog väst AB</t>
        </is>
      </c>
      <c r="G23" t="n">
        <v>9.6</v>
      </c>
      <c r="H23" t="n">
        <v>1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Buskmus</t>
        </is>
      </c>
      <c r="S23">
        <f>HYPERLINK("https://klasma.github.io/Logging_1763/artfynd/A 26233-2022 artfynd.xlsx", "A 26233-2022")</f>
        <v/>
      </c>
      <c r="T23">
        <f>HYPERLINK("https://klasma.github.io/Logging_1763/kartor/A 26233-2022 karta.png", "A 26233-2022")</f>
        <v/>
      </c>
      <c r="V23">
        <f>HYPERLINK("https://klasma.github.io/Logging_1763/klagomål/A 26233-2022 FSC-klagomål.docx", "A 26233-2022")</f>
        <v/>
      </c>
      <c r="W23">
        <f>HYPERLINK("https://klasma.github.io/Logging_1763/klagomålsmail/A 26233-2022 FSC-klagomål mail.docx", "A 26233-2022")</f>
        <v/>
      </c>
      <c r="X23">
        <f>HYPERLINK("https://klasma.github.io/Logging_1763/tillsyn/A 26233-2022 tillsynsbegäran.docx", "A 26233-2022")</f>
        <v/>
      </c>
      <c r="Y23">
        <f>HYPERLINK("https://klasma.github.io/Logging_1763/tillsynsmail/A 26233-2022 tillsynsbegäran mail.docx", "A 26233-2022")</f>
        <v/>
      </c>
    </row>
    <row r="24" ht="15" customHeight="1">
      <c r="A24" t="inlineStr">
        <is>
          <t>A 60736-2022</t>
        </is>
      </c>
      <c r="B24" s="1" t="n">
        <v>44913</v>
      </c>
      <c r="C24" s="1" t="n">
        <v>45666</v>
      </c>
      <c r="D24" t="inlineStr">
        <is>
          <t>VÄRMLANDS LÄN</t>
        </is>
      </c>
      <c r="E24" t="inlineStr">
        <is>
          <t>FORSHAGA</t>
        </is>
      </c>
      <c r="G24" t="n">
        <v>1.1</v>
      </c>
      <c r="H24" t="n">
        <v>1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Mindre hackspett</t>
        </is>
      </c>
      <c r="S24">
        <f>HYPERLINK("https://klasma.github.io/Logging_1763/artfynd/A 60736-2022 artfynd.xlsx", "A 60736-2022")</f>
        <v/>
      </c>
      <c r="T24">
        <f>HYPERLINK("https://klasma.github.io/Logging_1763/kartor/A 60736-2022 karta.png", "A 60736-2022")</f>
        <v/>
      </c>
      <c r="V24">
        <f>HYPERLINK("https://klasma.github.io/Logging_1763/klagomål/A 60736-2022 FSC-klagomål.docx", "A 60736-2022")</f>
        <v/>
      </c>
      <c r="W24">
        <f>HYPERLINK("https://klasma.github.io/Logging_1763/klagomålsmail/A 60736-2022 FSC-klagomål mail.docx", "A 60736-2022")</f>
        <v/>
      </c>
      <c r="X24">
        <f>HYPERLINK("https://klasma.github.io/Logging_1763/tillsyn/A 60736-2022 tillsynsbegäran.docx", "A 60736-2022")</f>
        <v/>
      </c>
      <c r="Y24">
        <f>HYPERLINK("https://klasma.github.io/Logging_1763/tillsynsmail/A 60736-2022 tillsynsbegäran mail.docx", "A 60736-2022")</f>
        <v/>
      </c>
      <c r="Z24">
        <f>HYPERLINK("https://klasma.github.io/Logging_1763/fåglar/A 60736-2022 prioriterade fågelarter.docx", "A 60736-2022")</f>
        <v/>
      </c>
    </row>
    <row r="25" ht="15" customHeight="1">
      <c r="A25" t="inlineStr">
        <is>
          <t>A 45484-2023</t>
        </is>
      </c>
      <c r="B25" s="1" t="n">
        <v>45188</v>
      </c>
      <c r="C25" s="1" t="n">
        <v>45666</v>
      </c>
      <c r="D25" t="inlineStr">
        <is>
          <t>VÄRMLANDS LÄN</t>
        </is>
      </c>
      <c r="E25" t="inlineStr">
        <is>
          <t>FORSHAGA</t>
        </is>
      </c>
      <c r="G25" t="n">
        <v>2.7</v>
      </c>
      <c r="H25" t="n">
        <v>0</v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Scharlakansvårskål agg.</t>
        </is>
      </c>
      <c r="S25">
        <f>HYPERLINK("https://klasma.github.io/Logging_1763/artfynd/A 45484-2023 artfynd.xlsx", "A 45484-2023")</f>
        <v/>
      </c>
      <c r="T25">
        <f>HYPERLINK("https://klasma.github.io/Logging_1763/kartor/A 45484-2023 karta.png", "A 45484-2023")</f>
        <v/>
      </c>
      <c r="V25">
        <f>HYPERLINK("https://klasma.github.io/Logging_1763/klagomål/A 45484-2023 FSC-klagomål.docx", "A 45484-2023")</f>
        <v/>
      </c>
      <c r="W25">
        <f>HYPERLINK("https://klasma.github.io/Logging_1763/klagomålsmail/A 45484-2023 FSC-klagomål mail.docx", "A 45484-2023")</f>
        <v/>
      </c>
      <c r="X25">
        <f>HYPERLINK("https://klasma.github.io/Logging_1763/tillsyn/A 45484-2023 tillsynsbegäran.docx", "A 45484-2023")</f>
        <v/>
      </c>
      <c r="Y25">
        <f>HYPERLINK("https://klasma.github.io/Logging_1763/tillsynsmail/A 45484-2023 tillsynsbegäran mail.docx", "A 45484-2023")</f>
        <v/>
      </c>
    </row>
    <row r="26" ht="15" customHeight="1">
      <c r="A26" t="inlineStr">
        <is>
          <t>A 35334-2024</t>
        </is>
      </c>
      <c r="B26" s="1" t="n">
        <v>45530</v>
      </c>
      <c r="C26" s="1" t="n">
        <v>45666</v>
      </c>
      <c r="D26" t="inlineStr">
        <is>
          <t>VÄRMLANDS LÄN</t>
        </is>
      </c>
      <c r="E26" t="inlineStr">
        <is>
          <t>FORSHAGA</t>
        </is>
      </c>
      <c r="F26" t="inlineStr">
        <is>
          <t>Kommuner</t>
        </is>
      </c>
      <c r="G26" t="n">
        <v>3.2</v>
      </c>
      <c r="H26" t="n">
        <v>1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Nattviol</t>
        </is>
      </c>
      <c r="S26">
        <f>HYPERLINK("https://klasma.github.io/Logging_1763/artfynd/A 35334-2024 artfynd.xlsx", "A 35334-2024")</f>
        <v/>
      </c>
      <c r="T26">
        <f>HYPERLINK("https://klasma.github.io/Logging_1763/kartor/A 35334-2024 karta.png", "A 35334-2024")</f>
        <v/>
      </c>
      <c r="V26">
        <f>HYPERLINK("https://klasma.github.io/Logging_1763/klagomål/A 35334-2024 FSC-klagomål.docx", "A 35334-2024")</f>
        <v/>
      </c>
      <c r="W26">
        <f>HYPERLINK("https://klasma.github.io/Logging_1763/klagomålsmail/A 35334-2024 FSC-klagomål mail.docx", "A 35334-2024")</f>
        <v/>
      </c>
      <c r="X26">
        <f>HYPERLINK("https://klasma.github.io/Logging_1763/tillsyn/A 35334-2024 tillsynsbegäran.docx", "A 35334-2024")</f>
        <v/>
      </c>
      <c r="Y26">
        <f>HYPERLINK("https://klasma.github.io/Logging_1763/tillsynsmail/A 35334-2024 tillsynsbegäran mail.docx", "A 35334-2024")</f>
        <v/>
      </c>
    </row>
    <row r="27" ht="15" customHeight="1">
      <c r="A27" t="inlineStr">
        <is>
          <t>A 46620-2024</t>
        </is>
      </c>
      <c r="B27" s="1" t="n">
        <v>45583</v>
      </c>
      <c r="C27" s="1" t="n">
        <v>45666</v>
      </c>
      <c r="D27" t="inlineStr">
        <is>
          <t>VÄRMLANDS LÄN</t>
        </is>
      </c>
      <c r="E27" t="inlineStr">
        <is>
          <t>FORSHAGA</t>
        </is>
      </c>
      <c r="G27" t="n">
        <v>2.5</v>
      </c>
      <c r="H27" t="n">
        <v>1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Mattlummer</t>
        </is>
      </c>
      <c r="S27">
        <f>HYPERLINK("https://klasma.github.io/Logging_1763/artfynd/A 46620-2024 artfynd.xlsx", "A 46620-2024")</f>
        <v/>
      </c>
      <c r="T27">
        <f>HYPERLINK("https://klasma.github.io/Logging_1763/kartor/A 46620-2024 karta.png", "A 46620-2024")</f>
        <v/>
      </c>
      <c r="V27">
        <f>HYPERLINK("https://klasma.github.io/Logging_1763/klagomål/A 46620-2024 FSC-klagomål.docx", "A 46620-2024")</f>
        <v/>
      </c>
      <c r="W27">
        <f>HYPERLINK("https://klasma.github.io/Logging_1763/klagomålsmail/A 46620-2024 FSC-klagomål mail.docx", "A 46620-2024")</f>
        <v/>
      </c>
      <c r="X27">
        <f>HYPERLINK("https://klasma.github.io/Logging_1763/tillsyn/A 46620-2024 tillsynsbegäran.docx", "A 46620-2024")</f>
        <v/>
      </c>
      <c r="Y27">
        <f>HYPERLINK("https://klasma.github.io/Logging_1763/tillsynsmail/A 46620-2024 tillsynsbegäran mail.docx", "A 46620-2024")</f>
        <v/>
      </c>
    </row>
    <row r="28" ht="15" customHeight="1">
      <c r="A28" t="inlineStr">
        <is>
          <t>A 18113-2019</t>
        </is>
      </c>
      <c r="B28" s="1" t="n">
        <v>43558</v>
      </c>
      <c r="C28" s="1" t="n">
        <v>45666</v>
      </c>
      <c r="D28" t="inlineStr">
        <is>
          <t>VÄRMLANDS LÄN</t>
        </is>
      </c>
      <c r="E28" t="inlineStr">
        <is>
          <t>FORSHAGA</t>
        </is>
      </c>
      <c r="F28" t="inlineStr">
        <is>
          <t>Bergvik skog väst AB</t>
        </is>
      </c>
      <c r="G28" t="n">
        <v>4.4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19828-2019</t>
        </is>
      </c>
      <c r="B29" s="1" t="n">
        <v>43566</v>
      </c>
      <c r="C29" s="1" t="n">
        <v>45666</v>
      </c>
      <c r="D29" t="inlineStr">
        <is>
          <t>VÄRMLANDS LÄN</t>
        </is>
      </c>
      <c r="E29" t="inlineStr">
        <is>
          <t>FORSHAGA</t>
        </is>
      </c>
      <c r="G29" t="n">
        <v>1.5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20791-2019</t>
        </is>
      </c>
      <c r="B30" s="1" t="n">
        <v>43573</v>
      </c>
      <c r="C30" s="1" t="n">
        <v>45666</v>
      </c>
      <c r="D30" t="inlineStr">
        <is>
          <t>VÄRMLANDS LÄN</t>
        </is>
      </c>
      <c r="E30" t="inlineStr">
        <is>
          <t>FORSHAGA</t>
        </is>
      </c>
      <c r="G30" t="n">
        <v>8.199999999999999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21185-2019</t>
        </is>
      </c>
      <c r="B31" s="1" t="n">
        <v>43579</v>
      </c>
      <c r="C31" s="1" t="n">
        <v>45666</v>
      </c>
      <c r="D31" t="inlineStr">
        <is>
          <t>VÄRMLANDS LÄN</t>
        </is>
      </c>
      <c r="E31" t="inlineStr">
        <is>
          <t>FORSHAGA</t>
        </is>
      </c>
      <c r="F31" t="inlineStr">
        <is>
          <t>Bergvik skog väst AB</t>
        </is>
      </c>
      <c r="G31" t="n">
        <v>3.5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21283-2019</t>
        </is>
      </c>
      <c r="B32" s="1" t="n">
        <v>43579</v>
      </c>
      <c r="C32" s="1" t="n">
        <v>45666</v>
      </c>
      <c r="D32" t="inlineStr">
        <is>
          <t>VÄRMLANDS LÄN</t>
        </is>
      </c>
      <c r="E32" t="inlineStr">
        <is>
          <t>FORSHAGA</t>
        </is>
      </c>
      <c r="F32" t="inlineStr">
        <is>
          <t>Bergvik skog väst AB</t>
        </is>
      </c>
      <c r="G32" t="n">
        <v>17.2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21196-2019</t>
        </is>
      </c>
      <c r="B33" s="1" t="n">
        <v>43579</v>
      </c>
      <c r="C33" s="1" t="n">
        <v>45666</v>
      </c>
      <c r="D33" t="inlineStr">
        <is>
          <t>VÄRMLANDS LÄN</t>
        </is>
      </c>
      <c r="E33" t="inlineStr">
        <is>
          <t>FORSHAGA</t>
        </is>
      </c>
      <c r="F33" t="inlineStr">
        <is>
          <t>Bergvik skog väst AB</t>
        </is>
      </c>
      <c r="G33" t="n">
        <v>6.3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21464-2019</t>
        </is>
      </c>
      <c r="B34" s="1" t="n">
        <v>43580</v>
      </c>
      <c r="C34" s="1" t="n">
        <v>45666</v>
      </c>
      <c r="D34" t="inlineStr">
        <is>
          <t>VÄRMLANDS LÄN</t>
        </is>
      </c>
      <c r="E34" t="inlineStr">
        <is>
          <t>FORSHAGA</t>
        </is>
      </c>
      <c r="G34" t="n">
        <v>2.3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21467-2019</t>
        </is>
      </c>
      <c r="B35" s="1" t="n">
        <v>43580</v>
      </c>
      <c r="C35" s="1" t="n">
        <v>45666</v>
      </c>
      <c r="D35" t="inlineStr">
        <is>
          <t>VÄRMLANDS LÄN</t>
        </is>
      </c>
      <c r="E35" t="inlineStr">
        <is>
          <t>FORSHAGA</t>
        </is>
      </c>
      <c r="G35" t="n">
        <v>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21695-2019</t>
        </is>
      </c>
      <c r="B36" s="1" t="n">
        <v>43581</v>
      </c>
      <c r="C36" s="1" t="n">
        <v>45666</v>
      </c>
      <c r="D36" t="inlineStr">
        <is>
          <t>VÄRMLANDS LÄN</t>
        </is>
      </c>
      <c r="E36" t="inlineStr">
        <is>
          <t>FORSHAGA</t>
        </is>
      </c>
      <c r="G36" t="n">
        <v>0.8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23032-2019</t>
        </is>
      </c>
      <c r="B37" s="1" t="n">
        <v>43591</v>
      </c>
      <c r="C37" s="1" t="n">
        <v>45666</v>
      </c>
      <c r="D37" t="inlineStr">
        <is>
          <t>VÄRMLANDS LÄN</t>
        </is>
      </c>
      <c r="E37" t="inlineStr">
        <is>
          <t>FORSHAGA</t>
        </is>
      </c>
      <c r="G37" t="n">
        <v>4.7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23266-2019</t>
        </is>
      </c>
      <c r="B38" s="1" t="n">
        <v>43592</v>
      </c>
      <c r="C38" s="1" t="n">
        <v>45666</v>
      </c>
      <c r="D38" t="inlineStr">
        <is>
          <t>VÄRMLANDS LÄN</t>
        </is>
      </c>
      <c r="E38" t="inlineStr">
        <is>
          <t>FORSHAGA</t>
        </is>
      </c>
      <c r="F38" t="inlineStr">
        <is>
          <t>Bergvik skog väst AB</t>
        </is>
      </c>
      <c r="G38" t="n">
        <v>4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24215-2019</t>
        </is>
      </c>
      <c r="B39" s="1" t="n">
        <v>43599</v>
      </c>
      <c r="C39" s="1" t="n">
        <v>45666</v>
      </c>
      <c r="D39" t="inlineStr">
        <is>
          <t>VÄRMLANDS LÄN</t>
        </is>
      </c>
      <c r="E39" t="inlineStr">
        <is>
          <t>FORSHAGA</t>
        </is>
      </c>
      <c r="G39" t="n">
        <v>4.1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26412-2019</t>
        </is>
      </c>
      <c r="B40" s="1" t="n">
        <v>43612</v>
      </c>
      <c r="C40" s="1" t="n">
        <v>45666</v>
      </c>
      <c r="D40" t="inlineStr">
        <is>
          <t>VÄRMLANDS LÄN</t>
        </is>
      </c>
      <c r="E40" t="inlineStr">
        <is>
          <t>FORSHAGA</t>
        </is>
      </c>
      <c r="G40" t="n">
        <v>10.3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26509-2019</t>
        </is>
      </c>
      <c r="B41" s="1" t="n">
        <v>43612</v>
      </c>
      <c r="C41" s="1" t="n">
        <v>45666</v>
      </c>
      <c r="D41" t="inlineStr">
        <is>
          <t>VÄRMLANDS LÄN</t>
        </is>
      </c>
      <c r="E41" t="inlineStr">
        <is>
          <t>FORSHAGA</t>
        </is>
      </c>
      <c r="G41" t="n">
        <v>3.9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29644-2019</t>
        </is>
      </c>
      <c r="B42" s="1" t="n">
        <v>43630</v>
      </c>
      <c r="C42" s="1" t="n">
        <v>45666</v>
      </c>
      <c r="D42" t="inlineStr">
        <is>
          <t>VÄRMLANDS LÄN</t>
        </is>
      </c>
      <c r="E42" t="inlineStr">
        <is>
          <t>FORSHAGA</t>
        </is>
      </c>
      <c r="F42" t="inlineStr">
        <is>
          <t>Bergvik skog väst AB</t>
        </is>
      </c>
      <c r="G42" t="n">
        <v>1.2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31383-2019</t>
        </is>
      </c>
      <c r="B43" s="1" t="n">
        <v>43641</v>
      </c>
      <c r="C43" s="1" t="n">
        <v>45666</v>
      </c>
      <c r="D43" t="inlineStr">
        <is>
          <t>VÄRMLANDS LÄN</t>
        </is>
      </c>
      <c r="E43" t="inlineStr">
        <is>
          <t>FORSHAGA</t>
        </is>
      </c>
      <c r="G43" t="n">
        <v>1.2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31349-2019</t>
        </is>
      </c>
      <c r="B44" s="1" t="n">
        <v>43641</v>
      </c>
      <c r="C44" s="1" t="n">
        <v>45666</v>
      </c>
      <c r="D44" t="inlineStr">
        <is>
          <t>VÄRMLANDS LÄN</t>
        </is>
      </c>
      <c r="E44" t="inlineStr">
        <is>
          <t>FORSHAGA</t>
        </is>
      </c>
      <c r="G44" t="n">
        <v>2.1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35088-2019</t>
        </is>
      </c>
      <c r="B45" s="1" t="n">
        <v>43661</v>
      </c>
      <c r="C45" s="1" t="n">
        <v>45666</v>
      </c>
      <c r="D45" t="inlineStr">
        <is>
          <t>VÄRMLANDS LÄN</t>
        </is>
      </c>
      <c r="E45" t="inlineStr">
        <is>
          <t>FORSHAGA</t>
        </is>
      </c>
      <c r="F45" t="inlineStr">
        <is>
          <t>Bergvik skog väst AB</t>
        </is>
      </c>
      <c r="G45" t="n">
        <v>1.9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40018-2019</t>
        </is>
      </c>
      <c r="B46" s="1" t="n">
        <v>43692</v>
      </c>
      <c r="C46" s="1" t="n">
        <v>45666</v>
      </c>
      <c r="D46" t="inlineStr">
        <is>
          <t>VÄRMLANDS LÄN</t>
        </is>
      </c>
      <c r="E46" t="inlineStr">
        <is>
          <t>FORSHAGA</t>
        </is>
      </c>
      <c r="G46" t="n">
        <v>7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40039-2019</t>
        </is>
      </c>
      <c r="B47" s="1" t="n">
        <v>43692</v>
      </c>
      <c r="C47" s="1" t="n">
        <v>45666</v>
      </c>
      <c r="D47" t="inlineStr">
        <is>
          <t>VÄRMLANDS LÄN</t>
        </is>
      </c>
      <c r="E47" t="inlineStr">
        <is>
          <t>FORSHAGA</t>
        </is>
      </c>
      <c r="G47" t="n">
        <v>1.1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40237-2019</t>
        </is>
      </c>
      <c r="B48" s="1" t="n">
        <v>43694</v>
      </c>
      <c r="C48" s="1" t="n">
        <v>45666</v>
      </c>
      <c r="D48" t="inlineStr">
        <is>
          <t>VÄRMLANDS LÄN</t>
        </is>
      </c>
      <c r="E48" t="inlineStr">
        <is>
          <t>FORSHAGA</t>
        </is>
      </c>
      <c r="G48" t="n">
        <v>1.9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40238-2019</t>
        </is>
      </c>
      <c r="B49" s="1" t="n">
        <v>43694</v>
      </c>
      <c r="C49" s="1" t="n">
        <v>45666</v>
      </c>
      <c r="D49" t="inlineStr">
        <is>
          <t>VÄRMLANDS LÄN</t>
        </is>
      </c>
      <c r="E49" t="inlineStr">
        <is>
          <t>FORSHAGA</t>
        </is>
      </c>
      <c r="G49" t="n">
        <v>2.9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41694-2019</t>
        </is>
      </c>
      <c r="B50" s="1" t="n">
        <v>43696</v>
      </c>
      <c r="C50" s="1" t="n">
        <v>45666</v>
      </c>
      <c r="D50" t="inlineStr">
        <is>
          <t>VÄRMLANDS LÄN</t>
        </is>
      </c>
      <c r="E50" t="inlineStr">
        <is>
          <t>FORSHAGA</t>
        </is>
      </c>
      <c r="G50" t="n">
        <v>3.9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42468-2019</t>
        </is>
      </c>
      <c r="B51" s="1" t="n">
        <v>43698</v>
      </c>
      <c r="C51" s="1" t="n">
        <v>45666</v>
      </c>
      <c r="D51" t="inlineStr">
        <is>
          <t>VÄRMLANDS LÄN</t>
        </is>
      </c>
      <c r="E51" t="inlineStr">
        <is>
          <t>FORSHAGA</t>
        </is>
      </c>
      <c r="G51" t="n">
        <v>4.3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42463-2019</t>
        </is>
      </c>
      <c r="B52" s="1" t="n">
        <v>43698</v>
      </c>
      <c r="C52" s="1" t="n">
        <v>45666</v>
      </c>
      <c r="D52" t="inlineStr">
        <is>
          <t>VÄRMLANDS LÄN</t>
        </is>
      </c>
      <c r="E52" t="inlineStr">
        <is>
          <t>FORSHAGA</t>
        </is>
      </c>
      <c r="G52" t="n">
        <v>5.6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42472-2019</t>
        </is>
      </c>
      <c r="B53" s="1" t="n">
        <v>43698</v>
      </c>
      <c r="C53" s="1" t="n">
        <v>45666</v>
      </c>
      <c r="D53" t="inlineStr">
        <is>
          <t>VÄRMLANDS LÄN</t>
        </is>
      </c>
      <c r="E53" t="inlineStr">
        <is>
          <t>FORSHAGA</t>
        </is>
      </c>
      <c r="G53" t="n">
        <v>2.2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44495-2019</t>
        </is>
      </c>
      <c r="B54" s="1" t="n">
        <v>43711</v>
      </c>
      <c r="C54" s="1" t="n">
        <v>45666</v>
      </c>
      <c r="D54" t="inlineStr">
        <is>
          <t>VÄRMLANDS LÄN</t>
        </is>
      </c>
      <c r="E54" t="inlineStr">
        <is>
          <t>FORSHAGA</t>
        </is>
      </c>
      <c r="G54" t="n">
        <v>4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47457-2019</t>
        </is>
      </c>
      <c r="B55" s="1" t="n">
        <v>43724</v>
      </c>
      <c r="C55" s="1" t="n">
        <v>45666</v>
      </c>
      <c r="D55" t="inlineStr">
        <is>
          <t>VÄRMLANDS LÄN</t>
        </is>
      </c>
      <c r="E55" t="inlineStr">
        <is>
          <t>FORSHAGA</t>
        </is>
      </c>
      <c r="G55" t="n">
        <v>1.2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54640-2019</t>
        </is>
      </c>
      <c r="B56" s="1" t="n">
        <v>43754</v>
      </c>
      <c r="C56" s="1" t="n">
        <v>45666</v>
      </c>
      <c r="D56" t="inlineStr">
        <is>
          <t>VÄRMLANDS LÄN</t>
        </is>
      </c>
      <c r="E56" t="inlineStr">
        <is>
          <t>FORSHAGA</t>
        </is>
      </c>
      <c r="G56" t="n">
        <v>1.3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55838-2019</t>
        </is>
      </c>
      <c r="B57" s="1" t="n">
        <v>43761</v>
      </c>
      <c r="C57" s="1" t="n">
        <v>45666</v>
      </c>
      <c r="D57" t="inlineStr">
        <is>
          <t>VÄRMLANDS LÄN</t>
        </is>
      </c>
      <c r="E57" t="inlineStr">
        <is>
          <t>FORSHAGA</t>
        </is>
      </c>
      <c r="G57" t="n">
        <v>0.4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55834-2019</t>
        </is>
      </c>
      <c r="B58" s="1" t="n">
        <v>43761</v>
      </c>
      <c r="C58" s="1" t="n">
        <v>45666</v>
      </c>
      <c r="D58" t="inlineStr">
        <is>
          <t>VÄRMLANDS LÄN</t>
        </is>
      </c>
      <c r="E58" t="inlineStr">
        <is>
          <t>FORSHAGA</t>
        </is>
      </c>
      <c r="G58" t="n">
        <v>0.2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56825-2019</t>
        </is>
      </c>
      <c r="B59" s="1" t="n">
        <v>43764</v>
      </c>
      <c r="C59" s="1" t="n">
        <v>45666</v>
      </c>
      <c r="D59" t="inlineStr">
        <is>
          <t>VÄRMLANDS LÄN</t>
        </is>
      </c>
      <c r="E59" t="inlineStr">
        <is>
          <t>FORSHAGA</t>
        </is>
      </c>
      <c r="G59" t="n">
        <v>2.3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62936-2019</t>
        </is>
      </c>
      <c r="B60" s="1" t="n">
        <v>43784</v>
      </c>
      <c r="C60" s="1" t="n">
        <v>45666</v>
      </c>
      <c r="D60" t="inlineStr">
        <is>
          <t>VÄRMLANDS LÄN</t>
        </is>
      </c>
      <c r="E60" t="inlineStr">
        <is>
          <t>FORSHAGA</t>
        </is>
      </c>
      <c r="G60" t="n">
        <v>6.1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63316-2019</t>
        </is>
      </c>
      <c r="B61" s="1" t="n">
        <v>43794</v>
      </c>
      <c r="C61" s="1" t="n">
        <v>45666</v>
      </c>
      <c r="D61" t="inlineStr">
        <is>
          <t>VÄRMLANDS LÄN</t>
        </is>
      </c>
      <c r="E61" t="inlineStr">
        <is>
          <t>FORSHAGA</t>
        </is>
      </c>
      <c r="G61" t="n">
        <v>3.8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63954-2019</t>
        </is>
      </c>
      <c r="B62" s="1" t="n">
        <v>43796</v>
      </c>
      <c r="C62" s="1" t="n">
        <v>45666</v>
      </c>
      <c r="D62" t="inlineStr">
        <is>
          <t>VÄRMLANDS LÄN</t>
        </is>
      </c>
      <c r="E62" t="inlineStr">
        <is>
          <t>FORSHAGA</t>
        </is>
      </c>
      <c r="G62" t="n">
        <v>3.8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66439-2019</t>
        </is>
      </c>
      <c r="B63" s="1" t="n">
        <v>43802</v>
      </c>
      <c r="C63" s="1" t="n">
        <v>45666</v>
      </c>
      <c r="D63" t="inlineStr">
        <is>
          <t>VÄRMLANDS LÄN</t>
        </is>
      </c>
      <c r="E63" t="inlineStr">
        <is>
          <t>FORSHAGA</t>
        </is>
      </c>
      <c r="G63" t="n">
        <v>0.9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65158-2019</t>
        </is>
      </c>
      <c r="B64" s="1" t="n">
        <v>43802</v>
      </c>
      <c r="C64" s="1" t="n">
        <v>45666</v>
      </c>
      <c r="D64" t="inlineStr">
        <is>
          <t>VÄRMLANDS LÄN</t>
        </is>
      </c>
      <c r="E64" t="inlineStr">
        <is>
          <t>FORSHAGA</t>
        </is>
      </c>
      <c r="G64" t="n">
        <v>3.2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66438-2019</t>
        </is>
      </c>
      <c r="B65" s="1" t="n">
        <v>43802</v>
      </c>
      <c r="C65" s="1" t="n">
        <v>45666</v>
      </c>
      <c r="D65" t="inlineStr">
        <is>
          <t>VÄRMLANDS LÄN</t>
        </is>
      </c>
      <c r="E65" t="inlineStr">
        <is>
          <t>FORSHAGA</t>
        </is>
      </c>
      <c r="G65" t="n">
        <v>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65839-2019</t>
        </is>
      </c>
      <c r="B66" s="1" t="n">
        <v>43805</v>
      </c>
      <c r="C66" s="1" t="n">
        <v>45666</v>
      </c>
      <c r="D66" t="inlineStr">
        <is>
          <t>VÄRMLANDS LÄN</t>
        </is>
      </c>
      <c r="E66" t="inlineStr">
        <is>
          <t>FORSHAGA</t>
        </is>
      </c>
      <c r="G66" t="n">
        <v>2.6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65856-2019</t>
        </is>
      </c>
      <c r="B67" s="1" t="n">
        <v>43805</v>
      </c>
      <c r="C67" s="1" t="n">
        <v>45666</v>
      </c>
      <c r="D67" t="inlineStr">
        <is>
          <t>VÄRMLANDS LÄN</t>
        </is>
      </c>
      <c r="E67" t="inlineStr">
        <is>
          <t>FORSHAGA</t>
        </is>
      </c>
      <c r="G67" t="n">
        <v>1.2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68344-2019</t>
        </is>
      </c>
      <c r="B68" s="1" t="n">
        <v>43818</v>
      </c>
      <c r="C68" s="1" t="n">
        <v>45666</v>
      </c>
      <c r="D68" t="inlineStr">
        <is>
          <t>VÄRMLANDS LÄN</t>
        </is>
      </c>
      <c r="E68" t="inlineStr">
        <is>
          <t>FORSHAGA</t>
        </is>
      </c>
      <c r="F68" t="inlineStr">
        <is>
          <t>Bergvik skog väst AB</t>
        </is>
      </c>
      <c r="G68" t="n">
        <v>2.2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99-2020</t>
        </is>
      </c>
      <c r="B69" s="1" t="n">
        <v>43832</v>
      </c>
      <c r="C69" s="1" t="n">
        <v>45666</v>
      </c>
      <c r="D69" t="inlineStr">
        <is>
          <t>VÄRMLANDS LÄN</t>
        </is>
      </c>
      <c r="E69" t="inlineStr">
        <is>
          <t>FORSHAGA</t>
        </is>
      </c>
      <c r="G69" t="n">
        <v>0.9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677-2020</t>
        </is>
      </c>
      <c r="B70" s="1" t="n">
        <v>43838</v>
      </c>
      <c r="C70" s="1" t="n">
        <v>45666</v>
      </c>
      <c r="D70" t="inlineStr">
        <is>
          <t>VÄRMLANDS LÄN</t>
        </is>
      </c>
      <c r="E70" t="inlineStr">
        <is>
          <t>FORSHAGA</t>
        </is>
      </c>
      <c r="G70" t="n">
        <v>1.2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3245-2020</t>
        </is>
      </c>
      <c r="B71" s="1" t="n">
        <v>43852</v>
      </c>
      <c r="C71" s="1" t="n">
        <v>45666</v>
      </c>
      <c r="D71" t="inlineStr">
        <is>
          <t>VÄRMLANDS LÄN</t>
        </is>
      </c>
      <c r="E71" t="inlineStr">
        <is>
          <t>FORSHAGA</t>
        </is>
      </c>
      <c r="G71" t="n">
        <v>0.7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10500-2020</t>
        </is>
      </c>
      <c r="B72" s="1" t="n">
        <v>43886</v>
      </c>
      <c r="C72" s="1" t="n">
        <v>45666</v>
      </c>
      <c r="D72" t="inlineStr">
        <is>
          <t>VÄRMLANDS LÄN</t>
        </is>
      </c>
      <c r="E72" t="inlineStr">
        <is>
          <t>FORSHAGA</t>
        </is>
      </c>
      <c r="F72" t="inlineStr">
        <is>
          <t>Bergvik skog väst AB</t>
        </is>
      </c>
      <c r="G72" t="n">
        <v>3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10163-2020</t>
        </is>
      </c>
      <c r="B73" s="1" t="n">
        <v>43886</v>
      </c>
      <c r="C73" s="1" t="n">
        <v>45666</v>
      </c>
      <c r="D73" t="inlineStr">
        <is>
          <t>VÄRMLANDS LÄN</t>
        </is>
      </c>
      <c r="E73" t="inlineStr">
        <is>
          <t>FORSHAGA</t>
        </is>
      </c>
      <c r="F73" t="inlineStr">
        <is>
          <t>Bergvik skog väst AB</t>
        </is>
      </c>
      <c r="G73" t="n">
        <v>0.6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14943-2020</t>
        </is>
      </c>
      <c r="B74" s="1" t="n">
        <v>43906</v>
      </c>
      <c r="C74" s="1" t="n">
        <v>45666</v>
      </c>
      <c r="D74" t="inlineStr">
        <is>
          <t>VÄRMLANDS LÄN</t>
        </is>
      </c>
      <c r="E74" t="inlineStr">
        <is>
          <t>FORSHAGA</t>
        </is>
      </c>
      <c r="G74" t="n">
        <v>2.6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15564-2020</t>
        </is>
      </c>
      <c r="B75" s="1" t="n">
        <v>43907</v>
      </c>
      <c r="C75" s="1" t="n">
        <v>45666</v>
      </c>
      <c r="D75" t="inlineStr">
        <is>
          <t>VÄRMLANDS LÄN</t>
        </is>
      </c>
      <c r="E75" t="inlineStr">
        <is>
          <t>FORSHAGA</t>
        </is>
      </c>
      <c r="G75" t="n">
        <v>0.6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14270-2020</t>
        </is>
      </c>
      <c r="B76" s="1" t="n">
        <v>43907</v>
      </c>
      <c r="C76" s="1" t="n">
        <v>45666</v>
      </c>
      <c r="D76" t="inlineStr">
        <is>
          <t>VÄRMLANDS LÄN</t>
        </is>
      </c>
      <c r="E76" t="inlineStr">
        <is>
          <t>FORSHAGA</t>
        </is>
      </c>
      <c r="G76" t="n">
        <v>1.7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15536-2020</t>
        </is>
      </c>
      <c r="B77" s="1" t="n">
        <v>43907</v>
      </c>
      <c r="C77" s="1" t="n">
        <v>45666</v>
      </c>
      <c r="D77" t="inlineStr">
        <is>
          <t>VÄRMLANDS LÄN</t>
        </is>
      </c>
      <c r="E77" t="inlineStr">
        <is>
          <t>FORSHAGA</t>
        </is>
      </c>
      <c r="G77" t="n">
        <v>0.9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14798-2020</t>
        </is>
      </c>
      <c r="B78" s="1" t="n">
        <v>43909</v>
      </c>
      <c r="C78" s="1" t="n">
        <v>45666</v>
      </c>
      <c r="D78" t="inlineStr">
        <is>
          <t>VÄRMLANDS LÄN</t>
        </is>
      </c>
      <c r="E78" t="inlineStr">
        <is>
          <t>FORSHAGA</t>
        </is>
      </c>
      <c r="G78" t="n">
        <v>2.1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16037-2020</t>
        </is>
      </c>
      <c r="B79" s="1" t="n">
        <v>43916</v>
      </c>
      <c r="C79" s="1" t="n">
        <v>45666</v>
      </c>
      <c r="D79" t="inlineStr">
        <is>
          <t>VÄRMLANDS LÄN</t>
        </is>
      </c>
      <c r="E79" t="inlineStr">
        <is>
          <t>FORSHAGA</t>
        </is>
      </c>
      <c r="G79" t="n">
        <v>1.4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16027-2020</t>
        </is>
      </c>
      <c r="B80" s="1" t="n">
        <v>43916</v>
      </c>
      <c r="C80" s="1" t="n">
        <v>45666</v>
      </c>
      <c r="D80" t="inlineStr">
        <is>
          <t>VÄRMLANDS LÄN</t>
        </is>
      </c>
      <c r="E80" t="inlineStr">
        <is>
          <t>FORSHAGA</t>
        </is>
      </c>
      <c r="G80" t="n">
        <v>5.3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18025-2020</t>
        </is>
      </c>
      <c r="B81" s="1" t="n">
        <v>43927</v>
      </c>
      <c r="C81" s="1" t="n">
        <v>45666</v>
      </c>
      <c r="D81" t="inlineStr">
        <is>
          <t>VÄRMLANDS LÄN</t>
        </is>
      </c>
      <c r="E81" t="inlineStr">
        <is>
          <t>FORSHAGA</t>
        </is>
      </c>
      <c r="F81" t="inlineStr">
        <is>
          <t>Bergvik skog väst AB</t>
        </is>
      </c>
      <c r="G81" t="n">
        <v>7.8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18263-2020</t>
        </is>
      </c>
      <c r="B82" s="1" t="n">
        <v>43928</v>
      </c>
      <c r="C82" s="1" t="n">
        <v>45666</v>
      </c>
      <c r="D82" t="inlineStr">
        <is>
          <t>VÄRMLANDS LÄN</t>
        </is>
      </c>
      <c r="E82" t="inlineStr">
        <is>
          <t>FORSHAGA</t>
        </is>
      </c>
      <c r="G82" t="n">
        <v>1.4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18258-2020</t>
        </is>
      </c>
      <c r="B83" s="1" t="n">
        <v>43928</v>
      </c>
      <c r="C83" s="1" t="n">
        <v>45666</v>
      </c>
      <c r="D83" t="inlineStr">
        <is>
          <t>VÄRMLANDS LÄN</t>
        </is>
      </c>
      <c r="E83" t="inlineStr">
        <is>
          <t>FORSHAGA</t>
        </is>
      </c>
      <c r="G83" t="n">
        <v>2.6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24327-2020</t>
        </is>
      </c>
      <c r="B84" s="1" t="n">
        <v>43976</v>
      </c>
      <c r="C84" s="1" t="n">
        <v>45666</v>
      </c>
      <c r="D84" t="inlineStr">
        <is>
          <t>VÄRMLANDS LÄN</t>
        </is>
      </c>
      <c r="E84" t="inlineStr">
        <is>
          <t>FORSHAGA</t>
        </is>
      </c>
      <c r="G84" t="n">
        <v>1.3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29465-2020</t>
        </is>
      </c>
      <c r="B85" s="1" t="n">
        <v>44004</v>
      </c>
      <c r="C85" s="1" t="n">
        <v>45666</v>
      </c>
      <c r="D85" t="inlineStr">
        <is>
          <t>VÄRMLANDS LÄN</t>
        </is>
      </c>
      <c r="E85" t="inlineStr">
        <is>
          <t>FORSHAGA</t>
        </is>
      </c>
      <c r="G85" t="n">
        <v>2.4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29854-2020</t>
        </is>
      </c>
      <c r="B86" s="1" t="n">
        <v>44005</v>
      </c>
      <c r="C86" s="1" t="n">
        <v>45666</v>
      </c>
      <c r="D86" t="inlineStr">
        <is>
          <t>VÄRMLANDS LÄN</t>
        </is>
      </c>
      <c r="E86" t="inlineStr">
        <is>
          <t>FORSHAGA</t>
        </is>
      </c>
      <c r="G86" t="n">
        <v>9.5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33476-2020</t>
        </is>
      </c>
      <c r="B87" s="1" t="n">
        <v>44023</v>
      </c>
      <c r="C87" s="1" t="n">
        <v>45666</v>
      </c>
      <c r="D87" t="inlineStr">
        <is>
          <t>VÄRMLANDS LÄN</t>
        </is>
      </c>
      <c r="E87" t="inlineStr">
        <is>
          <t>FORSHAGA</t>
        </is>
      </c>
      <c r="G87" t="n">
        <v>2.6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36699-2020</t>
        </is>
      </c>
      <c r="B88" s="1" t="n">
        <v>44053</v>
      </c>
      <c r="C88" s="1" t="n">
        <v>45666</v>
      </c>
      <c r="D88" t="inlineStr">
        <is>
          <t>VÄRMLANDS LÄN</t>
        </is>
      </c>
      <c r="E88" t="inlineStr">
        <is>
          <t>FORSHAGA</t>
        </is>
      </c>
      <c r="G88" t="n">
        <v>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38969-2020</t>
        </is>
      </c>
      <c r="B89" s="1" t="n">
        <v>44062</v>
      </c>
      <c r="C89" s="1" t="n">
        <v>45666</v>
      </c>
      <c r="D89" t="inlineStr">
        <is>
          <t>VÄRMLANDS LÄN</t>
        </is>
      </c>
      <c r="E89" t="inlineStr">
        <is>
          <t>FORSHAGA</t>
        </is>
      </c>
      <c r="G89" t="n">
        <v>7.1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39856-2020</t>
        </is>
      </c>
      <c r="B90" s="1" t="n">
        <v>44067</v>
      </c>
      <c r="C90" s="1" t="n">
        <v>45666</v>
      </c>
      <c r="D90" t="inlineStr">
        <is>
          <t>VÄRMLANDS LÄN</t>
        </is>
      </c>
      <c r="E90" t="inlineStr">
        <is>
          <t>FORSHAGA</t>
        </is>
      </c>
      <c r="G90" t="n">
        <v>2.2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39985-2020</t>
        </is>
      </c>
      <c r="B91" s="1" t="n">
        <v>44067</v>
      </c>
      <c r="C91" s="1" t="n">
        <v>45666</v>
      </c>
      <c r="D91" t="inlineStr">
        <is>
          <t>VÄRMLANDS LÄN</t>
        </is>
      </c>
      <c r="E91" t="inlineStr">
        <is>
          <t>FORSHAGA</t>
        </is>
      </c>
      <c r="G91" t="n">
        <v>3.3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41332-2020</t>
        </is>
      </c>
      <c r="B92" s="1" t="n">
        <v>44071</v>
      </c>
      <c r="C92" s="1" t="n">
        <v>45666</v>
      </c>
      <c r="D92" t="inlineStr">
        <is>
          <t>VÄRMLANDS LÄN</t>
        </is>
      </c>
      <c r="E92" t="inlineStr">
        <is>
          <t>FORSHAGA</t>
        </is>
      </c>
      <c r="G92" t="n">
        <v>1.3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42960-2020</t>
        </is>
      </c>
      <c r="B93" s="1" t="n">
        <v>44078</v>
      </c>
      <c r="C93" s="1" t="n">
        <v>45666</v>
      </c>
      <c r="D93" t="inlineStr">
        <is>
          <t>VÄRMLANDS LÄN</t>
        </is>
      </c>
      <c r="E93" t="inlineStr">
        <is>
          <t>FORSHAGA</t>
        </is>
      </c>
      <c r="G93" t="n">
        <v>0.7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42967-2020</t>
        </is>
      </c>
      <c r="B94" s="1" t="n">
        <v>44078</v>
      </c>
      <c r="C94" s="1" t="n">
        <v>45666</v>
      </c>
      <c r="D94" t="inlineStr">
        <is>
          <t>VÄRMLANDS LÄN</t>
        </is>
      </c>
      <c r="E94" t="inlineStr">
        <is>
          <t>FORSHAGA</t>
        </is>
      </c>
      <c r="G94" t="n">
        <v>0.5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42993-2020</t>
        </is>
      </c>
      <c r="B95" s="1" t="n">
        <v>44078</v>
      </c>
      <c r="C95" s="1" t="n">
        <v>45666</v>
      </c>
      <c r="D95" t="inlineStr">
        <is>
          <t>VÄRMLANDS LÄN</t>
        </is>
      </c>
      <c r="E95" t="inlineStr">
        <is>
          <t>FORSHAGA</t>
        </is>
      </c>
      <c r="G95" t="n">
        <v>0.7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42910-2020</t>
        </is>
      </c>
      <c r="B96" s="1" t="n">
        <v>44078</v>
      </c>
      <c r="C96" s="1" t="n">
        <v>45666</v>
      </c>
      <c r="D96" t="inlineStr">
        <is>
          <t>VÄRMLANDS LÄN</t>
        </is>
      </c>
      <c r="E96" t="inlineStr">
        <is>
          <t>FORSHAGA</t>
        </is>
      </c>
      <c r="F96" t="inlineStr">
        <is>
          <t>Bergvik skog väst AB</t>
        </is>
      </c>
      <c r="G96" t="n">
        <v>0.4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42970-2020</t>
        </is>
      </c>
      <c r="B97" s="1" t="n">
        <v>44078</v>
      </c>
      <c r="C97" s="1" t="n">
        <v>45666</v>
      </c>
      <c r="D97" t="inlineStr">
        <is>
          <t>VÄRMLANDS LÄN</t>
        </is>
      </c>
      <c r="E97" t="inlineStr">
        <is>
          <t>FORSHAGA</t>
        </is>
      </c>
      <c r="G97" t="n">
        <v>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42984-2020</t>
        </is>
      </c>
      <c r="B98" s="1" t="n">
        <v>44078</v>
      </c>
      <c r="C98" s="1" t="n">
        <v>45666</v>
      </c>
      <c r="D98" t="inlineStr">
        <is>
          <t>VÄRMLANDS LÄN</t>
        </is>
      </c>
      <c r="E98" t="inlineStr">
        <is>
          <t>FORSHAGA</t>
        </is>
      </c>
      <c r="G98" t="n">
        <v>1.3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42965-2020</t>
        </is>
      </c>
      <c r="B99" s="1" t="n">
        <v>44078</v>
      </c>
      <c r="C99" s="1" t="n">
        <v>45666</v>
      </c>
      <c r="D99" t="inlineStr">
        <is>
          <t>VÄRMLANDS LÄN</t>
        </is>
      </c>
      <c r="E99" t="inlineStr">
        <is>
          <t>FORSHAGA</t>
        </is>
      </c>
      <c r="G99" t="n">
        <v>0.2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47042-2020</t>
        </is>
      </c>
      <c r="B100" s="1" t="n">
        <v>44096</v>
      </c>
      <c r="C100" s="1" t="n">
        <v>45666</v>
      </c>
      <c r="D100" t="inlineStr">
        <is>
          <t>VÄRMLANDS LÄN</t>
        </is>
      </c>
      <c r="E100" t="inlineStr">
        <is>
          <t>FORSHAGA</t>
        </is>
      </c>
      <c r="G100" t="n">
        <v>6.5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48106-2020</t>
        </is>
      </c>
      <c r="B101" s="1" t="n">
        <v>44101</v>
      </c>
      <c r="C101" s="1" t="n">
        <v>45666</v>
      </c>
      <c r="D101" t="inlineStr">
        <is>
          <t>VÄRMLANDS LÄN</t>
        </is>
      </c>
      <c r="E101" t="inlineStr">
        <is>
          <t>FORSHAGA</t>
        </is>
      </c>
      <c r="F101" t="inlineStr">
        <is>
          <t>Bergvik skog väst AB</t>
        </is>
      </c>
      <c r="G101" t="n">
        <v>5.8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48145-2020</t>
        </is>
      </c>
      <c r="B102" s="1" t="n">
        <v>44102</v>
      </c>
      <c r="C102" s="1" t="n">
        <v>45666</v>
      </c>
      <c r="D102" t="inlineStr">
        <is>
          <t>VÄRMLANDS LÄN</t>
        </is>
      </c>
      <c r="E102" t="inlineStr">
        <is>
          <t>FORSHAGA</t>
        </is>
      </c>
      <c r="G102" t="n">
        <v>3.3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48314-2020</t>
        </is>
      </c>
      <c r="B103" s="1" t="n">
        <v>44102</v>
      </c>
      <c r="C103" s="1" t="n">
        <v>45666</v>
      </c>
      <c r="D103" t="inlineStr">
        <is>
          <t>VÄRMLANDS LÄN</t>
        </is>
      </c>
      <c r="E103" t="inlineStr">
        <is>
          <t>FORSHAGA</t>
        </is>
      </c>
      <c r="G103" t="n">
        <v>4.8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52758-2020</t>
        </is>
      </c>
      <c r="B104" s="1" t="n">
        <v>44118</v>
      </c>
      <c r="C104" s="1" t="n">
        <v>45666</v>
      </c>
      <c r="D104" t="inlineStr">
        <is>
          <t>VÄRMLANDS LÄN</t>
        </is>
      </c>
      <c r="E104" t="inlineStr">
        <is>
          <t>FORSHAGA</t>
        </is>
      </c>
      <c r="G104" t="n">
        <v>1.7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53494-2020</t>
        </is>
      </c>
      <c r="B105" s="1" t="n">
        <v>44123</v>
      </c>
      <c r="C105" s="1" t="n">
        <v>45666</v>
      </c>
      <c r="D105" t="inlineStr">
        <is>
          <t>VÄRMLANDS LÄN</t>
        </is>
      </c>
      <c r="E105" t="inlineStr">
        <is>
          <t>FORSHAGA</t>
        </is>
      </c>
      <c r="G105" t="n">
        <v>0.9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53590-2020</t>
        </is>
      </c>
      <c r="B106" s="1" t="n">
        <v>44124</v>
      </c>
      <c r="C106" s="1" t="n">
        <v>45666</v>
      </c>
      <c r="D106" t="inlineStr">
        <is>
          <t>VÄRMLANDS LÄN</t>
        </is>
      </c>
      <c r="E106" t="inlineStr">
        <is>
          <t>FORSHAGA</t>
        </is>
      </c>
      <c r="F106" t="inlineStr">
        <is>
          <t>Bergvik skog väst AB</t>
        </is>
      </c>
      <c r="G106" t="n">
        <v>3.8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56871-2020</t>
        </is>
      </c>
      <c r="B107" s="1" t="n">
        <v>44138</v>
      </c>
      <c r="C107" s="1" t="n">
        <v>45666</v>
      </c>
      <c r="D107" t="inlineStr">
        <is>
          <t>VÄRMLANDS LÄN</t>
        </is>
      </c>
      <c r="E107" t="inlineStr">
        <is>
          <t>FORSHAGA</t>
        </is>
      </c>
      <c r="G107" t="n">
        <v>2.2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58691-2020</t>
        </is>
      </c>
      <c r="B108" s="1" t="n">
        <v>44146</v>
      </c>
      <c r="C108" s="1" t="n">
        <v>45666</v>
      </c>
      <c r="D108" t="inlineStr">
        <is>
          <t>VÄRMLANDS LÄN</t>
        </is>
      </c>
      <c r="E108" t="inlineStr">
        <is>
          <t>FORSHAGA</t>
        </is>
      </c>
      <c r="G108" t="n">
        <v>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59225-2020</t>
        </is>
      </c>
      <c r="B109" s="1" t="n">
        <v>44147</v>
      </c>
      <c r="C109" s="1" t="n">
        <v>45666</v>
      </c>
      <c r="D109" t="inlineStr">
        <is>
          <t>VÄRMLANDS LÄN</t>
        </is>
      </c>
      <c r="E109" t="inlineStr">
        <is>
          <t>FORSHAGA</t>
        </is>
      </c>
      <c r="G109" t="n">
        <v>2.2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59620-2020</t>
        </is>
      </c>
      <c r="B110" s="1" t="n">
        <v>44150</v>
      </c>
      <c r="C110" s="1" t="n">
        <v>45666</v>
      </c>
      <c r="D110" t="inlineStr">
        <is>
          <t>VÄRMLANDS LÄN</t>
        </is>
      </c>
      <c r="E110" t="inlineStr">
        <is>
          <t>FORSHAGA</t>
        </is>
      </c>
      <c r="G110" t="n">
        <v>4.6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65293-2020</t>
        </is>
      </c>
      <c r="B111" s="1" t="n">
        <v>44173</v>
      </c>
      <c r="C111" s="1" t="n">
        <v>45666</v>
      </c>
      <c r="D111" t="inlineStr">
        <is>
          <t>VÄRMLANDS LÄN</t>
        </is>
      </c>
      <c r="E111" t="inlineStr">
        <is>
          <t>FORSHAGA</t>
        </is>
      </c>
      <c r="F111" t="inlineStr">
        <is>
          <t>Bergvik skog väst AB</t>
        </is>
      </c>
      <c r="G111" t="n">
        <v>0.8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65940-2020</t>
        </is>
      </c>
      <c r="B112" s="1" t="n">
        <v>44175</v>
      </c>
      <c r="C112" s="1" t="n">
        <v>45666</v>
      </c>
      <c r="D112" t="inlineStr">
        <is>
          <t>VÄRMLANDS LÄN</t>
        </is>
      </c>
      <c r="E112" t="inlineStr">
        <is>
          <t>FORSHAGA</t>
        </is>
      </c>
      <c r="F112" t="inlineStr">
        <is>
          <t>Bergvik skog väst AB</t>
        </is>
      </c>
      <c r="G112" t="n">
        <v>3.3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67027-2020</t>
        </is>
      </c>
      <c r="B113" s="1" t="n">
        <v>44180</v>
      </c>
      <c r="C113" s="1" t="n">
        <v>45666</v>
      </c>
      <c r="D113" t="inlineStr">
        <is>
          <t>VÄRMLANDS LÄN</t>
        </is>
      </c>
      <c r="E113" t="inlineStr">
        <is>
          <t>FORSHAGA</t>
        </is>
      </c>
      <c r="F113" t="inlineStr">
        <is>
          <t>Bergvik skog väst AB</t>
        </is>
      </c>
      <c r="G113" t="n">
        <v>2.4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68665-2020</t>
        </is>
      </c>
      <c r="B114" s="1" t="n">
        <v>44187</v>
      </c>
      <c r="C114" s="1" t="n">
        <v>45666</v>
      </c>
      <c r="D114" t="inlineStr">
        <is>
          <t>VÄRMLANDS LÄN</t>
        </is>
      </c>
      <c r="E114" t="inlineStr">
        <is>
          <t>FORSHAGA</t>
        </is>
      </c>
      <c r="F114" t="inlineStr">
        <is>
          <t>Bergvik skog väst AB</t>
        </is>
      </c>
      <c r="G114" t="n">
        <v>5.7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68672-2020</t>
        </is>
      </c>
      <c r="B115" s="1" t="n">
        <v>44187</v>
      </c>
      <c r="C115" s="1" t="n">
        <v>45666</v>
      </c>
      <c r="D115" t="inlineStr">
        <is>
          <t>VÄRMLANDS LÄN</t>
        </is>
      </c>
      <c r="E115" t="inlineStr">
        <is>
          <t>FORSHAGA</t>
        </is>
      </c>
      <c r="F115" t="inlineStr">
        <is>
          <t>Bergvik skog väst AB</t>
        </is>
      </c>
      <c r="G115" t="n">
        <v>5.6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69031-2020</t>
        </is>
      </c>
      <c r="B116" s="1" t="n">
        <v>44188</v>
      </c>
      <c r="C116" s="1" t="n">
        <v>45666</v>
      </c>
      <c r="D116" t="inlineStr">
        <is>
          <t>VÄRMLANDS LÄN</t>
        </is>
      </c>
      <c r="E116" t="inlineStr">
        <is>
          <t>FORSHAGA</t>
        </is>
      </c>
      <c r="F116" t="inlineStr">
        <is>
          <t>Bergvik skog väst AB</t>
        </is>
      </c>
      <c r="G116" t="n">
        <v>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68985-2020</t>
        </is>
      </c>
      <c r="B117" s="1" t="n">
        <v>44188</v>
      </c>
      <c r="C117" s="1" t="n">
        <v>45666</v>
      </c>
      <c r="D117" t="inlineStr">
        <is>
          <t>VÄRMLANDS LÄN</t>
        </is>
      </c>
      <c r="E117" t="inlineStr">
        <is>
          <t>FORSHAGA</t>
        </is>
      </c>
      <c r="F117" t="inlineStr">
        <is>
          <t>Bergvik skog väst AB</t>
        </is>
      </c>
      <c r="G117" t="n">
        <v>9.300000000000001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2017-2021</t>
        </is>
      </c>
      <c r="B118" s="1" t="n">
        <v>44210</v>
      </c>
      <c r="C118" s="1" t="n">
        <v>45666</v>
      </c>
      <c r="D118" t="inlineStr">
        <is>
          <t>VÄRMLANDS LÄN</t>
        </is>
      </c>
      <c r="E118" t="inlineStr">
        <is>
          <t>FORSHAGA</t>
        </is>
      </c>
      <c r="G118" t="n">
        <v>7.3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2121-2021</t>
        </is>
      </c>
      <c r="B119" s="1" t="n">
        <v>44211</v>
      </c>
      <c r="C119" s="1" t="n">
        <v>45666</v>
      </c>
      <c r="D119" t="inlineStr">
        <is>
          <t>VÄRMLANDS LÄN</t>
        </is>
      </c>
      <c r="E119" t="inlineStr">
        <is>
          <t>FORSHAGA</t>
        </is>
      </c>
      <c r="F119" t="inlineStr">
        <is>
          <t>Bergvik skog väst AB</t>
        </is>
      </c>
      <c r="G119" t="n">
        <v>20.8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2141-2021</t>
        </is>
      </c>
      <c r="B120" s="1" t="n">
        <v>44211</v>
      </c>
      <c r="C120" s="1" t="n">
        <v>45666</v>
      </c>
      <c r="D120" t="inlineStr">
        <is>
          <t>VÄRMLANDS LÄN</t>
        </is>
      </c>
      <c r="E120" t="inlineStr">
        <is>
          <t>FORSHAGA</t>
        </is>
      </c>
      <c r="F120" t="inlineStr">
        <is>
          <t>Bergvik skog väst AB</t>
        </is>
      </c>
      <c r="G120" t="n">
        <v>12.3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4104-2021</t>
        </is>
      </c>
      <c r="B121" s="1" t="n">
        <v>44222</v>
      </c>
      <c r="C121" s="1" t="n">
        <v>45666</v>
      </c>
      <c r="D121" t="inlineStr">
        <is>
          <t>VÄRMLANDS LÄN</t>
        </is>
      </c>
      <c r="E121" t="inlineStr">
        <is>
          <t>FORSHAGA</t>
        </is>
      </c>
      <c r="F121" t="inlineStr">
        <is>
          <t>Bergvik skog väst AB</t>
        </is>
      </c>
      <c r="G121" t="n">
        <v>20.9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4991-2021</t>
        </is>
      </c>
      <c r="B122" s="1" t="n">
        <v>44228</v>
      </c>
      <c r="C122" s="1" t="n">
        <v>45666</v>
      </c>
      <c r="D122" t="inlineStr">
        <is>
          <t>VÄRMLANDS LÄN</t>
        </is>
      </c>
      <c r="E122" t="inlineStr">
        <is>
          <t>FORSHAGA</t>
        </is>
      </c>
      <c r="G122" t="n">
        <v>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6964-2021</t>
        </is>
      </c>
      <c r="B123" s="1" t="n">
        <v>44237</v>
      </c>
      <c r="C123" s="1" t="n">
        <v>45666</v>
      </c>
      <c r="D123" t="inlineStr">
        <is>
          <t>VÄRMLANDS LÄN</t>
        </is>
      </c>
      <c r="E123" t="inlineStr">
        <is>
          <t>FORSHAGA</t>
        </is>
      </c>
      <c r="F123" t="inlineStr">
        <is>
          <t>Bergvik skog väst AB</t>
        </is>
      </c>
      <c r="G123" t="n">
        <v>0.6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12527-2021</t>
        </is>
      </c>
      <c r="B124" s="1" t="n">
        <v>44269</v>
      </c>
      <c r="C124" s="1" t="n">
        <v>45666</v>
      </c>
      <c r="D124" t="inlineStr">
        <is>
          <t>VÄRMLANDS LÄN</t>
        </is>
      </c>
      <c r="E124" t="inlineStr">
        <is>
          <t>FORSHAGA</t>
        </is>
      </c>
      <c r="F124" t="inlineStr">
        <is>
          <t>Bergvik skog väst AB</t>
        </is>
      </c>
      <c r="G124" t="n">
        <v>18.8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13156-2021</t>
        </is>
      </c>
      <c r="B125" s="1" t="n">
        <v>44272</v>
      </c>
      <c r="C125" s="1" t="n">
        <v>45666</v>
      </c>
      <c r="D125" t="inlineStr">
        <is>
          <t>VÄRMLANDS LÄN</t>
        </is>
      </c>
      <c r="E125" t="inlineStr">
        <is>
          <t>FORSHAGA</t>
        </is>
      </c>
      <c r="G125" t="n">
        <v>0.7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14996-2021</t>
        </is>
      </c>
      <c r="B126" s="1" t="n">
        <v>44281</v>
      </c>
      <c r="C126" s="1" t="n">
        <v>45666</v>
      </c>
      <c r="D126" t="inlineStr">
        <is>
          <t>VÄRMLANDS LÄN</t>
        </is>
      </c>
      <c r="E126" t="inlineStr">
        <is>
          <t>FORSHAGA</t>
        </is>
      </c>
      <c r="F126" t="inlineStr">
        <is>
          <t>Bergvik skog väst AB</t>
        </is>
      </c>
      <c r="G126" t="n">
        <v>8.4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15224-2021</t>
        </is>
      </c>
      <c r="B127" s="1" t="n">
        <v>44284</v>
      </c>
      <c r="C127" s="1" t="n">
        <v>45666</v>
      </c>
      <c r="D127" t="inlineStr">
        <is>
          <t>VÄRMLANDS LÄN</t>
        </is>
      </c>
      <c r="E127" t="inlineStr">
        <is>
          <t>FORSHAGA</t>
        </is>
      </c>
      <c r="F127" t="inlineStr">
        <is>
          <t>Bergvik skog väst AB</t>
        </is>
      </c>
      <c r="G127" t="n">
        <v>6.3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15203-2021</t>
        </is>
      </c>
      <c r="B128" s="1" t="n">
        <v>44284</v>
      </c>
      <c r="C128" s="1" t="n">
        <v>45666</v>
      </c>
      <c r="D128" t="inlineStr">
        <is>
          <t>VÄRMLANDS LÄN</t>
        </is>
      </c>
      <c r="E128" t="inlineStr">
        <is>
          <t>FORSHAGA</t>
        </is>
      </c>
      <c r="F128" t="inlineStr">
        <is>
          <t>Bergvik skog väst AB</t>
        </is>
      </c>
      <c r="G128" t="n">
        <v>19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16655-2021</t>
        </is>
      </c>
      <c r="B129" s="1" t="n">
        <v>44294</v>
      </c>
      <c r="C129" s="1" t="n">
        <v>45666</v>
      </c>
      <c r="D129" t="inlineStr">
        <is>
          <t>VÄRMLANDS LÄN</t>
        </is>
      </c>
      <c r="E129" t="inlineStr">
        <is>
          <t>FORSHAGA</t>
        </is>
      </c>
      <c r="F129" t="inlineStr">
        <is>
          <t>Bergvik skog väst AB</t>
        </is>
      </c>
      <c r="G129" t="n">
        <v>2.7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20103-2021</t>
        </is>
      </c>
      <c r="B130" s="1" t="n">
        <v>44314</v>
      </c>
      <c r="C130" s="1" t="n">
        <v>45666</v>
      </c>
      <c r="D130" t="inlineStr">
        <is>
          <t>VÄRMLANDS LÄN</t>
        </is>
      </c>
      <c r="E130" t="inlineStr">
        <is>
          <t>FORSHAGA</t>
        </is>
      </c>
      <c r="F130" t="inlineStr">
        <is>
          <t>Bergvik skog väst AB</t>
        </is>
      </c>
      <c r="G130" t="n">
        <v>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22295-2021</t>
        </is>
      </c>
      <c r="B131" s="1" t="n">
        <v>44326</v>
      </c>
      <c r="C131" s="1" t="n">
        <v>45666</v>
      </c>
      <c r="D131" t="inlineStr">
        <is>
          <t>VÄRMLANDS LÄN</t>
        </is>
      </c>
      <c r="E131" t="inlineStr">
        <is>
          <t>FORSHAGA</t>
        </is>
      </c>
      <c r="G131" t="n">
        <v>2.1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23049-2021</t>
        </is>
      </c>
      <c r="B132" s="1" t="n">
        <v>44329</v>
      </c>
      <c r="C132" s="1" t="n">
        <v>45666</v>
      </c>
      <c r="D132" t="inlineStr">
        <is>
          <t>VÄRMLANDS LÄN</t>
        </is>
      </c>
      <c r="E132" t="inlineStr">
        <is>
          <t>FORSHAGA</t>
        </is>
      </c>
      <c r="G132" t="n">
        <v>2.3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24092-2021</t>
        </is>
      </c>
      <c r="B133" s="1" t="n">
        <v>44336</v>
      </c>
      <c r="C133" s="1" t="n">
        <v>45666</v>
      </c>
      <c r="D133" t="inlineStr">
        <is>
          <t>VÄRMLANDS LÄN</t>
        </is>
      </c>
      <c r="E133" t="inlineStr">
        <is>
          <t>FORSHAGA</t>
        </is>
      </c>
      <c r="G133" t="n">
        <v>1.2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30376-2021</t>
        </is>
      </c>
      <c r="B134" s="1" t="n">
        <v>44364</v>
      </c>
      <c r="C134" s="1" t="n">
        <v>45666</v>
      </c>
      <c r="D134" t="inlineStr">
        <is>
          <t>VÄRMLANDS LÄN</t>
        </is>
      </c>
      <c r="E134" t="inlineStr">
        <is>
          <t>FORSHAGA</t>
        </is>
      </c>
      <c r="F134" t="inlineStr">
        <is>
          <t>Bergvik skog väst AB</t>
        </is>
      </c>
      <c r="G134" t="n">
        <v>17.9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31049-2021</t>
        </is>
      </c>
      <c r="B135" s="1" t="n">
        <v>44368</v>
      </c>
      <c r="C135" s="1" t="n">
        <v>45666</v>
      </c>
      <c r="D135" t="inlineStr">
        <is>
          <t>VÄRMLANDS LÄN</t>
        </is>
      </c>
      <c r="E135" t="inlineStr">
        <is>
          <t>FORSHAGA</t>
        </is>
      </c>
      <c r="F135" t="inlineStr">
        <is>
          <t>Bergvik skog väst AB</t>
        </is>
      </c>
      <c r="G135" t="n">
        <v>21.6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33003-2021</t>
        </is>
      </c>
      <c r="B136" s="1" t="n">
        <v>44375</v>
      </c>
      <c r="C136" s="1" t="n">
        <v>45666</v>
      </c>
      <c r="D136" t="inlineStr">
        <is>
          <t>VÄRMLANDS LÄN</t>
        </is>
      </c>
      <c r="E136" t="inlineStr">
        <is>
          <t>FORSHAGA</t>
        </is>
      </c>
      <c r="G136" t="n">
        <v>5.8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34737-2021</t>
        </is>
      </c>
      <c r="B137" s="1" t="n">
        <v>44382</v>
      </c>
      <c r="C137" s="1" t="n">
        <v>45666</v>
      </c>
      <c r="D137" t="inlineStr">
        <is>
          <t>VÄRMLANDS LÄN</t>
        </is>
      </c>
      <c r="E137" t="inlineStr">
        <is>
          <t>FORSHAGA</t>
        </is>
      </c>
      <c r="F137" t="inlineStr">
        <is>
          <t>Bergvik skog väst AB</t>
        </is>
      </c>
      <c r="G137" t="n">
        <v>7.7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36876-2021</t>
        </is>
      </c>
      <c r="B138" s="1" t="n">
        <v>44393</v>
      </c>
      <c r="C138" s="1" t="n">
        <v>45666</v>
      </c>
      <c r="D138" t="inlineStr">
        <is>
          <t>VÄRMLANDS LÄN</t>
        </is>
      </c>
      <c r="E138" t="inlineStr">
        <is>
          <t>FORSHAGA</t>
        </is>
      </c>
      <c r="F138" t="inlineStr">
        <is>
          <t>Bergvik skog väst AB</t>
        </is>
      </c>
      <c r="G138" t="n">
        <v>19.4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39660-2021</t>
        </is>
      </c>
      <c r="B139" s="1" t="n">
        <v>44417</v>
      </c>
      <c r="C139" s="1" t="n">
        <v>45666</v>
      </c>
      <c r="D139" t="inlineStr">
        <is>
          <t>VÄRMLANDS LÄN</t>
        </is>
      </c>
      <c r="E139" t="inlineStr">
        <is>
          <t>FORSHAGA</t>
        </is>
      </c>
      <c r="G139" t="n">
        <v>14.8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39802-2021</t>
        </is>
      </c>
      <c r="B140" s="1" t="n">
        <v>44417</v>
      </c>
      <c r="C140" s="1" t="n">
        <v>45666</v>
      </c>
      <c r="D140" t="inlineStr">
        <is>
          <t>VÄRMLANDS LÄN</t>
        </is>
      </c>
      <c r="E140" t="inlineStr">
        <is>
          <t>FORSHAGA</t>
        </is>
      </c>
      <c r="G140" t="n">
        <v>0.8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41846-2021</t>
        </is>
      </c>
      <c r="B141" s="1" t="n">
        <v>44425</v>
      </c>
      <c r="C141" s="1" t="n">
        <v>45666</v>
      </c>
      <c r="D141" t="inlineStr">
        <is>
          <t>VÄRMLANDS LÄN</t>
        </is>
      </c>
      <c r="E141" t="inlineStr">
        <is>
          <t>FORSHAGA</t>
        </is>
      </c>
      <c r="G141" t="n">
        <v>0.8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45736-2021</t>
        </is>
      </c>
      <c r="B142" s="1" t="n">
        <v>44441</v>
      </c>
      <c r="C142" s="1" t="n">
        <v>45666</v>
      </c>
      <c r="D142" t="inlineStr">
        <is>
          <t>VÄRMLANDS LÄN</t>
        </is>
      </c>
      <c r="E142" t="inlineStr">
        <is>
          <t>FORSHAGA</t>
        </is>
      </c>
      <c r="G142" t="n">
        <v>12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45742-2021</t>
        </is>
      </c>
      <c r="B143" s="1" t="n">
        <v>44441</v>
      </c>
      <c r="C143" s="1" t="n">
        <v>45666</v>
      </c>
      <c r="D143" t="inlineStr">
        <is>
          <t>VÄRMLANDS LÄN</t>
        </is>
      </c>
      <c r="E143" t="inlineStr">
        <is>
          <t>FORSHAGA</t>
        </is>
      </c>
      <c r="G143" t="n">
        <v>8.300000000000001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45738-2021</t>
        </is>
      </c>
      <c r="B144" s="1" t="n">
        <v>44441</v>
      </c>
      <c r="C144" s="1" t="n">
        <v>45666</v>
      </c>
      <c r="D144" t="inlineStr">
        <is>
          <t>VÄRMLANDS LÄN</t>
        </is>
      </c>
      <c r="E144" t="inlineStr">
        <is>
          <t>FORSHAGA</t>
        </is>
      </c>
      <c r="G144" t="n">
        <v>11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45751-2021</t>
        </is>
      </c>
      <c r="B145" s="1" t="n">
        <v>44441</v>
      </c>
      <c r="C145" s="1" t="n">
        <v>45666</v>
      </c>
      <c r="D145" t="inlineStr">
        <is>
          <t>VÄRMLANDS LÄN</t>
        </is>
      </c>
      <c r="E145" t="inlineStr">
        <is>
          <t>FORSHAGA</t>
        </is>
      </c>
      <c r="G145" t="n">
        <v>2.2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46701-2021</t>
        </is>
      </c>
      <c r="B146" s="1" t="n">
        <v>44445</v>
      </c>
      <c r="C146" s="1" t="n">
        <v>45666</v>
      </c>
      <c r="D146" t="inlineStr">
        <is>
          <t>VÄRMLANDS LÄN</t>
        </is>
      </c>
      <c r="E146" t="inlineStr">
        <is>
          <t>FORSHAGA</t>
        </is>
      </c>
      <c r="G146" t="n">
        <v>1.3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47431-2021</t>
        </is>
      </c>
      <c r="B147" s="1" t="n">
        <v>44447</v>
      </c>
      <c r="C147" s="1" t="n">
        <v>45666</v>
      </c>
      <c r="D147" t="inlineStr">
        <is>
          <t>VÄRMLANDS LÄN</t>
        </is>
      </c>
      <c r="E147" t="inlineStr">
        <is>
          <t>FORSHAGA</t>
        </is>
      </c>
      <c r="G147" t="n">
        <v>0.9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47436-2021</t>
        </is>
      </c>
      <c r="B148" s="1" t="n">
        <v>44447</v>
      </c>
      <c r="C148" s="1" t="n">
        <v>45666</v>
      </c>
      <c r="D148" t="inlineStr">
        <is>
          <t>VÄRMLANDS LÄN</t>
        </is>
      </c>
      <c r="E148" t="inlineStr">
        <is>
          <t>FORSHAGA</t>
        </is>
      </c>
      <c r="G148" t="n">
        <v>0.7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48465-2021</t>
        </is>
      </c>
      <c r="B149" s="1" t="n">
        <v>44452</v>
      </c>
      <c r="C149" s="1" t="n">
        <v>45666</v>
      </c>
      <c r="D149" t="inlineStr">
        <is>
          <t>VÄRMLANDS LÄN</t>
        </is>
      </c>
      <c r="E149" t="inlineStr">
        <is>
          <t>FORSHAGA</t>
        </is>
      </c>
      <c r="G149" t="n">
        <v>2.1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49617-2021</t>
        </is>
      </c>
      <c r="B150" s="1" t="n">
        <v>44454</v>
      </c>
      <c r="C150" s="1" t="n">
        <v>45666</v>
      </c>
      <c r="D150" t="inlineStr">
        <is>
          <t>VÄRMLANDS LÄN</t>
        </is>
      </c>
      <c r="E150" t="inlineStr">
        <is>
          <t>FORSHAGA</t>
        </is>
      </c>
      <c r="G150" t="n">
        <v>0.8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51124-2021</t>
        </is>
      </c>
      <c r="B151" s="1" t="n">
        <v>44461</v>
      </c>
      <c r="C151" s="1" t="n">
        <v>45666</v>
      </c>
      <c r="D151" t="inlineStr">
        <is>
          <t>VÄRMLANDS LÄN</t>
        </is>
      </c>
      <c r="E151" t="inlineStr">
        <is>
          <t>FORSHAGA</t>
        </is>
      </c>
      <c r="G151" t="n">
        <v>3.1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54189-2021</t>
        </is>
      </c>
      <c r="B152" s="1" t="n">
        <v>44470</v>
      </c>
      <c r="C152" s="1" t="n">
        <v>45666</v>
      </c>
      <c r="D152" t="inlineStr">
        <is>
          <t>VÄRMLANDS LÄN</t>
        </is>
      </c>
      <c r="E152" t="inlineStr">
        <is>
          <t>FORSHAGA</t>
        </is>
      </c>
      <c r="F152" t="inlineStr">
        <is>
          <t>Bergvik skog väst AB</t>
        </is>
      </c>
      <c r="G152" t="n">
        <v>24.8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56532-2021</t>
        </is>
      </c>
      <c r="B153" s="1" t="n">
        <v>44480</v>
      </c>
      <c r="C153" s="1" t="n">
        <v>45666</v>
      </c>
      <c r="D153" t="inlineStr">
        <is>
          <t>VÄRMLANDS LÄN</t>
        </is>
      </c>
      <c r="E153" t="inlineStr">
        <is>
          <t>FORSHAGA</t>
        </is>
      </c>
      <c r="G153" t="n">
        <v>0.3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57506-2021</t>
        </is>
      </c>
      <c r="B154" s="1" t="n">
        <v>44483</v>
      </c>
      <c r="C154" s="1" t="n">
        <v>45666</v>
      </c>
      <c r="D154" t="inlineStr">
        <is>
          <t>VÄRMLANDS LÄN</t>
        </is>
      </c>
      <c r="E154" t="inlineStr">
        <is>
          <t>FORSHAGA</t>
        </is>
      </c>
      <c r="G154" t="n">
        <v>1.2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58292-2021</t>
        </is>
      </c>
      <c r="B155" s="1" t="n">
        <v>44488</v>
      </c>
      <c r="C155" s="1" t="n">
        <v>45666</v>
      </c>
      <c r="D155" t="inlineStr">
        <is>
          <t>VÄRMLANDS LÄN</t>
        </is>
      </c>
      <c r="E155" t="inlineStr">
        <is>
          <t>FORSHAGA</t>
        </is>
      </c>
      <c r="G155" t="n">
        <v>2.5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58714-2021</t>
        </is>
      </c>
      <c r="B156" s="1" t="n">
        <v>44489</v>
      </c>
      <c r="C156" s="1" t="n">
        <v>45666</v>
      </c>
      <c r="D156" t="inlineStr">
        <is>
          <t>VÄRMLANDS LÄN</t>
        </is>
      </c>
      <c r="E156" t="inlineStr">
        <is>
          <t>FORSHAGA</t>
        </is>
      </c>
      <c r="G156" t="n">
        <v>1.6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63739-2021</t>
        </is>
      </c>
      <c r="B157" s="1" t="n">
        <v>44509</v>
      </c>
      <c r="C157" s="1" t="n">
        <v>45666</v>
      </c>
      <c r="D157" t="inlineStr">
        <is>
          <t>VÄRMLANDS LÄN</t>
        </is>
      </c>
      <c r="E157" t="inlineStr">
        <is>
          <t>FORSHAGA</t>
        </is>
      </c>
      <c r="G157" t="n">
        <v>4.1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63922-2021</t>
        </is>
      </c>
      <c r="B158" s="1" t="n">
        <v>44509</v>
      </c>
      <c r="C158" s="1" t="n">
        <v>45666</v>
      </c>
      <c r="D158" t="inlineStr">
        <is>
          <t>VÄRMLANDS LÄN</t>
        </is>
      </c>
      <c r="E158" t="inlineStr">
        <is>
          <t>FORSHAGA</t>
        </is>
      </c>
      <c r="F158" t="inlineStr">
        <is>
          <t>Bergvik skog väst AB</t>
        </is>
      </c>
      <c r="G158" t="n">
        <v>0.4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65915-2021</t>
        </is>
      </c>
      <c r="B159" s="1" t="n">
        <v>44517</v>
      </c>
      <c r="C159" s="1" t="n">
        <v>45666</v>
      </c>
      <c r="D159" t="inlineStr">
        <is>
          <t>VÄRMLANDS LÄN</t>
        </is>
      </c>
      <c r="E159" t="inlineStr">
        <is>
          <t>FORSHAGA</t>
        </is>
      </c>
      <c r="G159" t="n">
        <v>17.2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66035-2021</t>
        </is>
      </c>
      <c r="B160" s="1" t="n">
        <v>44517</v>
      </c>
      <c r="C160" s="1" t="n">
        <v>45666</v>
      </c>
      <c r="D160" t="inlineStr">
        <is>
          <t>VÄRMLANDS LÄN</t>
        </is>
      </c>
      <c r="E160" t="inlineStr">
        <is>
          <t>FORSHAGA</t>
        </is>
      </c>
      <c r="F160" t="inlineStr">
        <is>
          <t>Bergvik skog väst AB</t>
        </is>
      </c>
      <c r="G160" t="n">
        <v>0.6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66111-2021</t>
        </is>
      </c>
      <c r="B161" s="1" t="n">
        <v>44517</v>
      </c>
      <c r="C161" s="1" t="n">
        <v>45666</v>
      </c>
      <c r="D161" t="inlineStr">
        <is>
          <t>VÄRMLANDS LÄN</t>
        </is>
      </c>
      <c r="E161" t="inlineStr">
        <is>
          <t>FORSHAGA</t>
        </is>
      </c>
      <c r="G161" t="n">
        <v>1.9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67179-2021</t>
        </is>
      </c>
      <c r="B162" s="1" t="n">
        <v>44523</v>
      </c>
      <c r="C162" s="1" t="n">
        <v>45666</v>
      </c>
      <c r="D162" t="inlineStr">
        <is>
          <t>VÄRMLANDS LÄN</t>
        </is>
      </c>
      <c r="E162" t="inlineStr">
        <is>
          <t>FORSHAGA</t>
        </is>
      </c>
      <c r="G162" t="n">
        <v>0.9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67198-2021</t>
        </is>
      </c>
      <c r="B163" s="1" t="n">
        <v>44523</v>
      </c>
      <c r="C163" s="1" t="n">
        <v>45666</v>
      </c>
      <c r="D163" t="inlineStr">
        <is>
          <t>VÄRMLANDS LÄN</t>
        </is>
      </c>
      <c r="E163" t="inlineStr">
        <is>
          <t>FORSHAGA</t>
        </is>
      </c>
      <c r="G163" t="n">
        <v>4.8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67321-2021</t>
        </is>
      </c>
      <c r="B164" s="1" t="n">
        <v>44523</v>
      </c>
      <c r="C164" s="1" t="n">
        <v>45666</v>
      </c>
      <c r="D164" t="inlineStr">
        <is>
          <t>VÄRMLANDS LÄN</t>
        </is>
      </c>
      <c r="E164" t="inlineStr">
        <is>
          <t>FORSHAGA</t>
        </is>
      </c>
      <c r="G164" t="n">
        <v>4.6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67633-2021</t>
        </is>
      </c>
      <c r="B165" s="1" t="n">
        <v>44524</v>
      </c>
      <c r="C165" s="1" t="n">
        <v>45666</v>
      </c>
      <c r="D165" t="inlineStr">
        <is>
          <t>VÄRMLANDS LÄN</t>
        </is>
      </c>
      <c r="E165" t="inlineStr">
        <is>
          <t>FORSHAGA</t>
        </is>
      </c>
      <c r="G165" t="n">
        <v>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67617-2021</t>
        </is>
      </c>
      <c r="B166" s="1" t="n">
        <v>44524</v>
      </c>
      <c r="C166" s="1" t="n">
        <v>45666</v>
      </c>
      <c r="D166" t="inlineStr">
        <is>
          <t>VÄRMLANDS LÄN</t>
        </is>
      </c>
      <c r="E166" t="inlineStr">
        <is>
          <t>FORSHAGA</t>
        </is>
      </c>
      <c r="G166" t="n">
        <v>6.5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67770-2021</t>
        </is>
      </c>
      <c r="B167" s="1" t="n">
        <v>44524</v>
      </c>
      <c r="C167" s="1" t="n">
        <v>45666</v>
      </c>
      <c r="D167" t="inlineStr">
        <is>
          <t>VÄRMLANDS LÄN</t>
        </is>
      </c>
      <c r="E167" t="inlineStr">
        <is>
          <t>FORSHAGA</t>
        </is>
      </c>
      <c r="G167" t="n">
        <v>4.5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69859-2021</t>
        </is>
      </c>
      <c r="B168" s="1" t="n">
        <v>44532</v>
      </c>
      <c r="C168" s="1" t="n">
        <v>45666</v>
      </c>
      <c r="D168" t="inlineStr">
        <is>
          <t>VÄRMLANDS LÄN</t>
        </is>
      </c>
      <c r="E168" t="inlineStr">
        <is>
          <t>FORSHAGA</t>
        </is>
      </c>
      <c r="G168" t="n">
        <v>3.9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70214-2021</t>
        </is>
      </c>
      <c r="B169" s="1" t="n">
        <v>44535</v>
      </c>
      <c r="C169" s="1" t="n">
        <v>45666</v>
      </c>
      <c r="D169" t="inlineStr">
        <is>
          <t>VÄRMLANDS LÄN</t>
        </is>
      </c>
      <c r="E169" t="inlineStr">
        <is>
          <t>FORSHAGA</t>
        </is>
      </c>
      <c r="G169" t="n">
        <v>5.3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70294-2021</t>
        </is>
      </c>
      <c r="B170" s="1" t="n">
        <v>44536</v>
      </c>
      <c r="C170" s="1" t="n">
        <v>45666</v>
      </c>
      <c r="D170" t="inlineStr">
        <is>
          <t>VÄRMLANDS LÄN</t>
        </is>
      </c>
      <c r="E170" t="inlineStr">
        <is>
          <t>FORSHAGA</t>
        </is>
      </c>
      <c r="G170" t="n">
        <v>2.3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71625-2021</t>
        </is>
      </c>
      <c r="B171" s="1" t="n">
        <v>44542</v>
      </c>
      <c r="C171" s="1" t="n">
        <v>45666</v>
      </c>
      <c r="D171" t="inlineStr">
        <is>
          <t>VÄRMLANDS LÄN</t>
        </is>
      </c>
      <c r="E171" t="inlineStr">
        <is>
          <t>FORSHAGA</t>
        </is>
      </c>
      <c r="G171" t="n">
        <v>4.2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71629-2021</t>
        </is>
      </c>
      <c r="B172" s="1" t="n">
        <v>44542</v>
      </c>
      <c r="C172" s="1" t="n">
        <v>45666</v>
      </c>
      <c r="D172" t="inlineStr">
        <is>
          <t>VÄRMLANDS LÄN</t>
        </is>
      </c>
      <c r="E172" t="inlineStr">
        <is>
          <t>FORSHAGA</t>
        </is>
      </c>
      <c r="G172" t="n">
        <v>1.9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72240-2021</t>
        </is>
      </c>
      <c r="B173" s="1" t="n">
        <v>44544</v>
      </c>
      <c r="C173" s="1" t="n">
        <v>45666</v>
      </c>
      <c r="D173" t="inlineStr">
        <is>
          <t>VÄRMLANDS LÄN</t>
        </is>
      </c>
      <c r="E173" t="inlineStr">
        <is>
          <t>FORSHAGA</t>
        </is>
      </c>
      <c r="G173" t="n">
        <v>1.8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72688-2021</t>
        </is>
      </c>
      <c r="B174" s="1" t="n">
        <v>44546</v>
      </c>
      <c r="C174" s="1" t="n">
        <v>45666</v>
      </c>
      <c r="D174" t="inlineStr">
        <is>
          <t>VÄRMLANDS LÄN</t>
        </is>
      </c>
      <c r="E174" t="inlineStr">
        <is>
          <t>FORSHAGA</t>
        </is>
      </c>
      <c r="G174" t="n">
        <v>1.3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72991-2021</t>
        </is>
      </c>
      <c r="B175" s="1" t="n">
        <v>44549</v>
      </c>
      <c r="C175" s="1" t="n">
        <v>45666</v>
      </c>
      <c r="D175" t="inlineStr">
        <is>
          <t>VÄRMLANDS LÄN</t>
        </is>
      </c>
      <c r="E175" t="inlineStr">
        <is>
          <t>FORSHAGA</t>
        </is>
      </c>
      <c r="G175" t="n">
        <v>0.6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73264-2021</t>
        </is>
      </c>
      <c r="B176" s="1" t="n">
        <v>44550</v>
      </c>
      <c r="C176" s="1" t="n">
        <v>45666</v>
      </c>
      <c r="D176" t="inlineStr">
        <is>
          <t>VÄRMLANDS LÄN</t>
        </is>
      </c>
      <c r="E176" t="inlineStr">
        <is>
          <t>FORSHAGA</t>
        </is>
      </c>
      <c r="G176" t="n">
        <v>7.9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73266-2021</t>
        </is>
      </c>
      <c r="B177" s="1" t="n">
        <v>44550</v>
      </c>
      <c r="C177" s="1" t="n">
        <v>45666</v>
      </c>
      <c r="D177" t="inlineStr">
        <is>
          <t>VÄRMLANDS LÄN</t>
        </is>
      </c>
      <c r="E177" t="inlineStr">
        <is>
          <t>FORSHAGA</t>
        </is>
      </c>
      <c r="G177" t="n">
        <v>0.9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73265-2021</t>
        </is>
      </c>
      <c r="B178" s="1" t="n">
        <v>44550</v>
      </c>
      <c r="C178" s="1" t="n">
        <v>45666</v>
      </c>
      <c r="D178" t="inlineStr">
        <is>
          <t>VÄRMLANDS LÄN</t>
        </is>
      </c>
      <c r="E178" t="inlineStr">
        <is>
          <t>FORSHAGA</t>
        </is>
      </c>
      <c r="G178" t="n">
        <v>1.6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73267-2021</t>
        </is>
      </c>
      <c r="B179" s="1" t="n">
        <v>44550</v>
      </c>
      <c r="C179" s="1" t="n">
        <v>45666</v>
      </c>
      <c r="D179" t="inlineStr">
        <is>
          <t>VÄRMLANDS LÄN</t>
        </is>
      </c>
      <c r="E179" t="inlineStr">
        <is>
          <t>FORSHAGA</t>
        </is>
      </c>
      <c r="G179" t="n">
        <v>2.2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74007-2021</t>
        </is>
      </c>
      <c r="B180" s="1" t="n">
        <v>44557</v>
      </c>
      <c r="C180" s="1" t="n">
        <v>45666</v>
      </c>
      <c r="D180" t="inlineStr">
        <is>
          <t>VÄRMLANDS LÄN</t>
        </is>
      </c>
      <c r="E180" t="inlineStr">
        <is>
          <t>FORSHAGA</t>
        </is>
      </c>
      <c r="G180" t="n">
        <v>3.2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463-2022</t>
        </is>
      </c>
      <c r="B181" s="1" t="n">
        <v>44566</v>
      </c>
      <c r="C181" s="1" t="n">
        <v>45666</v>
      </c>
      <c r="D181" t="inlineStr">
        <is>
          <t>VÄRMLANDS LÄN</t>
        </is>
      </c>
      <c r="E181" t="inlineStr">
        <is>
          <t>FORSHAGA</t>
        </is>
      </c>
      <c r="F181" t="inlineStr">
        <is>
          <t>Bergvik skog väst AB</t>
        </is>
      </c>
      <c r="G181" t="n">
        <v>5.1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2278-2022</t>
        </is>
      </c>
      <c r="B182" s="1" t="n">
        <v>44578</v>
      </c>
      <c r="C182" s="1" t="n">
        <v>45666</v>
      </c>
      <c r="D182" t="inlineStr">
        <is>
          <t>VÄRMLANDS LÄN</t>
        </is>
      </c>
      <c r="E182" t="inlineStr">
        <is>
          <t>FORSHAGA</t>
        </is>
      </c>
      <c r="F182" t="inlineStr">
        <is>
          <t>Bergvik skog väst AB</t>
        </is>
      </c>
      <c r="G182" t="n">
        <v>3.2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2818-2022</t>
        </is>
      </c>
      <c r="B183" s="1" t="n">
        <v>44581</v>
      </c>
      <c r="C183" s="1" t="n">
        <v>45666</v>
      </c>
      <c r="D183" t="inlineStr">
        <is>
          <t>VÄRMLANDS LÄN</t>
        </is>
      </c>
      <c r="E183" t="inlineStr">
        <is>
          <t>FORSHAGA</t>
        </is>
      </c>
      <c r="G183" t="n">
        <v>11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2843-2022</t>
        </is>
      </c>
      <c r="B184" s="1" t="n">
        <v>44581</v>
      </c>
      <c r="C184" s="1" t="n">
        <v>45666</v>
      </c>
      <c r="D184" t="inlineStr">
        <is>
          <t>VÄRMLANDS LÄN</t>
        </is>
      </c>
      <c r="E184" t="inlineStr">
        <is>
          <t>FORSHAGA</t>
        </is>
      </c>
      <c r="G184" t="n">
        <v>2.7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2834-2022</t>
        </is>
      </c>
      <c r="B185" s="1" t="n">
        <v>44581</v>
      </c>
      <c r="C185" s="1" t="n">
        <v>45666</v>
      </c>
      <c r="D185" t="inlineStr">
        <is>
          <t>VÄRMLANDS LÄN</t>
        </is>
      </c>
      <c r="E185" t="inlineStr">
        <is>
          <t>FORSHAGA</t>
        </is>
      </c>
      <c r="G185" t="n">
        <v>3.5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5758-2022</t>
        </is>
      </c>
      <c r="B186" s="1" t="n">
        <v>44596</v>
      </c>
      <c r="C186" s="1" t="n">
        <v>45666</v>
      </c>
      <c r="D186" t="inlineStr">
        <is>
          <t>VÄRMLANDS LÄN</t>
        </is>
      </c>
      <c r="E186" t="inlineStr">
        <is>
          <t>FORSHAGA</t>
        </is>
      </c>
      <c r="F186" t="inlineStr">
        <is>
          <t>Bergvik skog väst AB</t>
        </is>
      </c>
      <c r="G186" t="n">
        <v>3.1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7289-2022</t>
        </is>
      </c>
      <c r="B187" s="1" t="n">
        <v>44606</v>
      </c>
      <c r="C187" s="1" t="n">
        <v>45666</v>
      </c>
      <c r="D187" t="inlineStr">
        <is>
          <t>VÄRMLANDS LÄN</t>
        </is>
      </c>
      <c r="E187" t="inlineStr">
        <is>
          <t>FORSHAGA</t>
        </is>
      </c>
      <c r="G187" t="n">
        <v>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7830-2022</t>
        </is>
      </c>
      <c r="B188" s="1" t="n">
        <v>44608</v>
      </c>
      <c r="C188" s="1" t="n">
        <v>45666</v>
      </c>
      <c r="D188" t="inlineStr">
        <is>
          <t>VÄRMLANDS LÄN</t>
        </is>
      </c>
      <c r="E188" t="inlineStr">
        <is>
          <t>FORSHAGA</t>
        </is>
      </c>
      <c r="G188" t="n">
        <v>1.4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7828-2022</t>
        </is>
      </c>
      <c r="B189" s="1" t="n">
        <v>44608</v>
      </c>
      <c r="C189" s="1" t="n">
        <v>45666</v>
      </c>
      <c r="D189" t="inlineStr">
        <is>
          <t>VÄRMLANDS LÄN</t>
        </is>
      </c>
      <c r="E189" t="inlineStr">
        <is>
          <t>FORSHAGA</t>
        </is>
      </c>
      <c r="G189" t="n">
        <v>0.7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9264-2022</t>
        </is>
      </c>
      <c r="B190" s="1" t="n">
        <v>44616</v>
      </c>
      <c r="C190" s="1" t="n">
        <v>45666</v>
      </c>
      <c r="D190" t="inlineStr">
        <is>
          <t>VÄRMLANDS LÄN</t>
        </is>
      </c>
      <c r="E190" t="inlineStr">
        <is>
          <t>FORSHAGA</t>
        </is>
      </c>
      <c r="G190" t="n">
        <v>3.5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9349-2022</t>
        </is>
      </c>
      <c r="B191" s="1" t="n">
        <v>44616</v>
      </c>
      <c r="C191" s="1" t="n">
        <v>45666</v>
      </c>
      <c r="D191" t="inlineStr">
        <is>
          <t>VÄRMLANDS LÄN</t>
        </is>
      </c>
      <c r="E191" t="inlineStr">
        <is>
          <t>FORSHAGA</t>
        </is>
      </c>
      <c r="G191" t="n">
        <v>2.6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9271-2022</t>
        </is>
      </c>
      <c r="B192" s="1" t="n">
        <v>44616</v>
      </c>
      <c r="C192" s="1" t="n">
        <v>45666</v>
      </c>
      <c r="D192" t="inlineStr">
        <is>
          <t>VÄRMLANDS LÄN</t>
        </is>
      </c>
      <c r="E192" t="inlineStr">
        <is>
          <t>FORSHAGA</t>
        </is>
      </c>
      <c r="G192" t="n">
        <v>0.4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9350-2022</t>
        </is>
      </c>
      <c r="B193" s="1" t="n">
        <v>44616</v>
      </c>
      <c r="C193" s="1" t="n">
        <v>45666</v>
      </c>
      <c r="D193" t="inlineStr">
        <is>
          <t>VÄRMLANDS LÄN</t>
        </is>
      </c>
      <c r="E193" t="inlineStr">
        <is>
          <t>FORSHAGA</t>
        </is>
      </c>
      <c r="G193" t="n">
        <v>4.6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10765-2022</t>
        </is>
      </c>
      <c r="B194" s="1" t="n">
        <v>44627</v>
      </c>
      <c r="C194" s="1" t="n">
        <v>45666</v>
      </c>
      <c r="D194" t="inlineStr">
        <is>
          <t>VÄRMLANDS LÄN</t>
        </is>
      </c>
      <c r="E194" t="inlineStr">
        <is>
          <t>FORSHAGA</t>
        </is>
      </c>
      <c r="G194" t="n">
        <v>6.1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12484-2022</t>
        </is>
      </c>
      <c r="B195" s="1" t="n">
        <v>44638</v>
      </c>
      <c r="C195" s="1" t="n">
        <v>45666</v>
      </c>
      <c r="D195" t="inlineStr">
        <is>
          <t>VÄRMLANDS LÄN</t>
        </is>
      </c>
      <c r="E195" t="inlineStr">
        <is>
          <t>FORSHAGA</t>
        </is>
      </c>
      <c r="G195" t="n">
        <v>2.6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15553-2022</t>
        </is>
      </c>
      <c r="B196" s="1" t="n">
        <v>44662</v>
      </c>
      <c r="C196" s="1" t="n">
        <v>45666</v>
      </c>
      <c r="D196" t="inlineStr">
        <is>
          <t>VÄRMLANDS LÄN</t>
        </is>
      </c>
      <c r="E196" t="inlineStr">
        <is>
          <t>FORSHAGA</t>
        </is>
      </c>
      <c r="G196" t="n">
        <v>7.8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15563-2022</t>
        </is>
      </c>
      <c r="B197" s="1" t="n">
        <v>44662</v>
      </c>
      <c r="C197" s="1" t="n">
        <v>45666</v>
      </c>
      <c r="D197" t="inlineStr">
        <is>
          <t>VÄRMLANDS LÄN</t>
        </is>
      </c>
      <c r="E197" t="inlineStr">
        <is>
          <t>FORSHAGA</t>
        </is>
      </c>
      <c r="G197" t="n">
        <v>3.7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15922-2022</t>
        </is>
      </c>
      <c r="B198" s="1" t="n">
        <v>44664</v>
      </c>
      <c r="C198" s="1" t="n">
        <v>45666</v>
      </c>
      <c r="D198" t="inlineStr">
        <is>
          <t>VÄRMLANDS LÄN</t>
        </is>
      </c>
      <c r="E198" t="inlineStr">
        <is>
          <t>FORSHAGA</t>
        </is>
      </c>
      <c r="F198" t="inlineStr">
        <is>
          <t>Bergvik skog väst AB</t>
        </is>
      </c>
      <c r="G198" t="n">
        <v>9.1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16018-2022</t>
        </is>
      </c>
      <c r="B199" s="1" t="n">
        <v>44665</v>
      </c>
      <c r="C199" s="1" t="n">
        <v>45666</v>
      </c>
      <c r="D199" t="inlineStr">
        <is>
          <t>VÄRMLANDS LÄN</t>
        </is>
      </c>
      <c r="E199" t="inlineStr">
        <is>
          <t>FORSHAGA</t>
        </is>
      </c>
      <c r="F199" t="inlineStr">
        <is>
          <t>Bergvik skog väst AB</t>
        </is>
      </c>
      <c r="G199" t="n">
        <v>3.9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17617-2022</t>
        </is>
      </c>
      <c r="B200" s="1" t="n">
        <v>44680</v>
      </c>
      <c r="C200" s="1" t="n">
        <v>45666</v>
      </c>
      <c r="D200" t="inlineStr">
        <is>
          <t>VÄRMLANDS LÄN</t>
        </is>
      </c>
      <c r="E200" t="inlineStr">
        <is>
          <t>FORSHAGA</t>
        </is>
      </c>
      <c r="F200" t="inlineStr">
        <is>
          <t>Bergvik skog väst AB</t>
        </is>
      </c>
      <c r="G200" t="n">
        <v>1.1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18177-2022</t>
        </is>
      </c>
      <c r="B201" s="1" t="n">
        <v>44684</v>
      </c>
      <c r="C201" s="1" t="n">
        <v>45666</v>
      </c>
      <c r="D201" t="inlineStr">
        <is>
          <t>VÄRMLANDS LÄN</t>
        </is>
      </c>
      <c r="E201" t="inlineStr">
        <is>
          <t>FORSHAGA</t>
        </is>
      </c>
      <c r="F201" t="inlineStr">
        <is>
          <t>Bergvik skog väst AB</t>
        </is>
      </c>
      <c r="G201" t="n">
        <v>13.7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18895-2022</t>
        </is>
      </c>
      <c r="B202" s="1" t="n">
        <v>44690</v>
      </c>
      <c r="C202" s="1" t="n">
        <v>45666</v>
      </c>
      <c r="D202" t="inlineStr">
        <is>
          <t>VÄRMLANDS LÄN</t>
        </is>
      </c>
      <c r="E202" t="inlineStr">
        <is>
          <t>FORSHAGA</t>
        </is>
      </c>
      <c r="F202" t="inlineStr">
        <is>
          <t>Bergvik skog väst AB</t>
        </is>
      </c>
      <c r="G202" t="n">
        <v>3.4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19469-2022</t>
        </is>
      </c>
      <c r="B203" s="1" t="n">
        <v>44693</v>
      </c>
      <c r="C203" s="1" t="n">
        <v>45666</v>
      </c>
      <c r="D203" t="inlineStr">
        <is>
          <t>VÄRMLANDS LÄN</t>
        </is>
      </c>
      <c r="E203" t="inlineStr">
        <is>
          <t>FORSHAGA</t>
        </is>
      </c>
      <c r="F203" t="inlineStr">
        <is>
          <t>Bergvik skog väst AB</t>
        </is>
      </c>
      <c r="G203" t="n">
        <v>11.1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19662-2022</t>
        </is>
      </c>
      <c r="B204" s="1" t="n">
        <v>44694</v>
      </c>
      <c r="C204" s="1" t="n">
        <v>45666</v>
      </c>
      <c r="D204" t="inlineStr">
        <is>
          <t>VÄRMLANDS LÄN</t>
        </is>
      </c>
      <c r="E204" t="inlineStr">
        <is>
          <t>FORSHAGA</t>
        </is>
      </c>
      <c r="G204" t="n">
        <v>7.7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19677-2022</t>
        </is>
      </c>
      <c r="B205" s="1" t="n">
        <v>44694</v>
      </c>
      <c r="C205" s="1" t="n">
        <v>45666</v>
      </c>
      <c r="D205" t="inlineStr">
        <is>
          <t>VÄRMLANDS LÄN</t>
        </is>
      </c>
      <c r="E205" t="inlineStr">
        <is>
          <t>FORSHAGA</t>
        </is>
      </c>
      <c r="G205" t="n">
        <v>1.8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19996-2022</t>
        </is>
      </c>
      <c r="B206" s="1" t="n">
        <v>44697</v>
      </c>
      <c r="C206" s="1" t="n">
        <v>45666</v>
      </c>
      <c r="D206" t="inlineStr">
        <is>
          <t>VÄRMLANDS LÄN</t>
        </is>
      </c>
      <c r="E206" t="inlineStr">
        <is>
          <t>FORSHAGA</t>
        </is>
      </c>
      <c r="G206" t="n">
        <v>1.7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20788-2022</t>
        </is>
      </c>
      <c r="B207" s="1" t="n">
        <v>44701</v>
      </c>
      <c r="C207" s="1" t="n">
        <v>45666</v>
      </c>
      <c r="D207" t="inlineStr">
        <is>
          <t>VÄRMLANDS LÄN</t>
        </is>
      </c>
      <c r="E207" t="inlineStr">
        <is>
          <t>FORSHAGA</t>
        </is>
      </c>
      <c r="F207" t="inlineStr">
        <is>
          <t>Bergvik skog väst AB</t>
        </is>
      </c>
      <c r="G207" t="n">
        <v>6.5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21434-2022</t>
        </is>
      </c>
      <c r="B208" s="1" t="n">
        <v>44706</v>
      </c>
      <c r="C208" s="1" t="n">
        <v>45666</v>
      </c>
      <c r="D208" t="inlineStr">
        <is>
          <t>VÄRMLANDS LÄN</t>
        </is>
      </c>
      <c r="E208" t="inlineStr">
        <is>
          <t>FORSHAGA</t>
        </is>
      </c>
      <c r="F208" t="inlineStr">
        <is>
          <t>Bergvik skog väst AB</t>
        </is>
      </c>
      <c r="G208" t="n">
        <v>3.4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23020-2022</t>
        </is>
      </c>
      <c r="B209" s="1" t="n">
        <v>44719</v>
      </c>
      <c r="C209" s="1" t="n">
        <v>45666</v>
      </c>
      <c r="D209" t="inlineStr">
        <is>
          <t>VÄRMLANDS LÄN</t>
        </is>
      </c>
      <c r="E209" t="inlineStr">
        <is>
          <t>FORSHAGA</t>
        </is>
      </c>
      <c r="G209" t="n">
        <v>4.3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23280-2022</t>
        </is>
      </c>
      <c r="B210" s="1" t="n">
        <v>44720</v>
      </c>
      <c r="C210" s="1" t="n">
        <v>45666</v>
      </c>
      <c r="D210" t="inlineStr">
        <is>
          <t>VÄRMLANDS LÄN</t>
        </is>
      </c>
      <c r="E210" t="inlineStr">
        <is>
          <t>FORSHAGA</t>
        </is>
      </c>
      <c r="F210" t="inlineStr">
        <is>
          <t>Bergvik skog väst AB</t>
        </is>
      </c>
      <c r="G210" t="n">
        <v>3.5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23379-2022</t>
        </is>
      </c>
      <c r="B211" s="1" t="n">
        <v>44720</v>
      </c>
      <c r="C211" s="1" t="n">
        <v>45666</v>
      </c>
      <c r="D211" t="inlineStr">
        <is>
          <t>VÄRMLANDS LÄN</t>
        </is>
      </c>
      <c r="E211" t="inlineStr">
        <is>
          <t>FORSHAGA</t>
        </is>
      </c>
      <c r="F211" t="inlineStr">
        <is>
          <t>Bergvik skog väst AB</t>
        </is>
      </c>
      <c r="G211" t="n">
        <v>2.4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23377-2022</t>
        </is>
      </c>
      <c r="B212" s="1" t="n">
        <v>44720</v>
      </c>
      <c r="C212" s="1" t="n">
        <v>45666</v>
      </c>
      <c r="D212" t="inlineStr">
        <is>
          <t>VÄRMLANDS LÄN</t>
        </is>
      </c>
      <c r="E212" t="inlineStr">
        <is>
          <t>FORSHAGA</t>
        </is>
      </c>
      <c r="F212" t="inlineStr">
        <is>
          <t>Bergvik skog väst AB</t>
        </is>
      </c>
      <c r="G212" t="n">
        <v>5.3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23887-2022</t>
        </is>
      </c>
      <c r="B213" s="1" t="n">
        <v>44722</v>
      </c>
      <c r="C213" s="1" t="n">
        <v>45666</v>
      </c>
      <c r="D213" t="inlineStr">
        <is>
          <t>VÄRMLANDS LÄN</t>
        </is>
      </c>
      <c r="E213" t="inlineStr">
        <is>
          <t>FORSHAGA</t>
        </is>
      </c>
      <c r="F213" t="inlineStr">
        <is>
          <t>Bergvik skog väst AB</t>
        </is>
      </c>
      <c r="G213" t="n">
        <v>2.7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24036-2022</t>
        </is>
      </c>
      <c r="B214" s="1" t="n">
        <v>44724</v>
      </c>
      <c r="C214" s="1" t="n">
        <v>45666</v>
      </c>
      <c r="D214" t="inlineStr">
        <is>
          <t>VÄRMLANDS LÄN</t>
        </is>
      </c>
      <c r="E214" t="inlineStr">
        <is>
          <t>FORSHAGA</t>
        </is>
      </c>
      <c r="G214" t="n">
        <v>11.2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24414-2022</t>
        </is>
      </c>
      <c r="B215" s="1" t="n">
        <v>44726</v>
      </c>
      <c r="C215" s="1" t="n">
        <v>45666</v>
      </c>
      <c r="D215" t="inlineStr">
        <is>
          <t>VÄRMLANDS LÄN</t>
        </is>
      </c>
      <c r="E215" t="inlineStr">
        <is>
          <t>FORSHAGA</t>
        </is>
      </c>
      <c r="G215" t="n">
        <v>0.6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26053-2022</t>
        </is>
      </c>
      <c r="B216" s="1" t="n">
        <v>44734</v>
      </c>
      <c r="C216" s="1" t="n">
        <v>45666</v>
      </c>
      <c r="D216" t="inlineStr">
        <is>
          <t>VÄRMLANDS LÄN</t>
        </is>
      </c>
      <c r="E216" t="inlineStr">
        <is>
          <t>FORSHAGA</t>
        </is>
      </c>
      <c r="G216" t="n">
        <v>2.7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26154-2022</t>
        </is>
      </c>
      <c r="B217" s="1" t="n">
        <v>44735</v>
      </c>
      <c r="C217" s="1" t="n">
        <v>45666</v>
      </c>
      <c r="D217" t="inlineStr">
        <is>
          <t>VÄRMLANDS LÄN</t>
        </is>
      </c>
      <c r="E217" t="inlineStr">
        <is>
          <t>FORSHAGA</t>
        </is>
      </c>
      <c r="F217" t="inlineStr">
        <is>
          <t>Bergvik skog väst AB</t>
        </is>
      </c>
      <c r="G217" t="n">
        <v>0.3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27507-2022</t>
        </is>
      </c>
      <c r="B218" s="1" t="n">
        <v>44742</v>
      </c>
      <c r="C218" s="1" t="n">
        <v>45666</v>
      </c>
      <c r="D218" t="inlineStr">
        <is>
          <t>VÄRMLANDS LÄN</t>
        </is>
      </c>
      <c r="E218" t="inlineStr">
        <is>
          <t>FORSHAGA</t>
        </is>
      </c>
      <c r="F218" t="inlineStr">
        <is>
          <t>Bergvik skog väst AB</t>
        </is>
      </c>
      <c r="G218" t="n">
        <v>6.8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27534-2022</t>
        </is>
      </c>
      <c r="B219" s="1" t="n">
        <v>44742</v>
      </c>
      <c r="C219" s="1" t="n">
        <v>45666</v>
      </c>
      <c r="D219" t="inlineStr">
        <is>
          <t>VÄRMLANDS LÄN</t>
        </is>
      </c>
      <c r="E219" t="inlineStr">
        <is>
          <t>FORSHAGA</t>
        </is>
      </c>
      <c r="F219" t="inlineStr">
        <is>
          <t>Bergvik skog väst AB</t>
        </is>
      </c>
      <c r="G219" t="n">
        <v>2.1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28327-2022</t>
        </is>
      </c>
      <c r="B220" s="1" t="n">
        <v>44747</v>
      </c>
      <c r="C220" s="1" t="n">
        <v>45666</v>
      </c>
      <c r="D220" t="inlineStr">
        <is>
          <t>VÄRMLANDS LÄN</t>
        </is>
      </c>
      <c r="E220" t="inlineStr">
        <is>
          <t>FORSHAGA</t>
        </is>
      </c>
      <c r="G220" t="n">
        <v>1.1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29507-2022</t>
        </is>
      </c>
      <c r="B221" s="1" t="n">
        <v>44753</v>
      </c>
      <c r="C221" s="1" t="n">
        <v>45666</v>
      </c>
      <c r="D221" t="inlineStr">
        <is>
          <t>VÄRMLANDS LÄN</t>
        </is>
      </c>
      <c r="E221" t="inlineStr">
        <is>
          <t>FORSHAGA</t>
        </is>
      </c>
      <c r="F221" t="inlineStr">
        <is>
          <t>Kommuner</t>
        </is>
      </c>
      <c r="G221" t="n">
        <v>0.9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29520-2022</t>
        </is>
      </c>
      <c r="B222" s="1" t="n">
        <v>44753</v>
      </c>
      <c r="C222" s="1" t="n">
        <v>45666</v>
      </c>
      <c r="D222" t="inlineStr">
        <is>
          <t>VÄRMLANDS LÄN</t>
        </is>
      </c>
      <c r="E222" t="inlineStr">
        <is>
          <t>FORSHAGA</t>
        </is>
      </c>
      <c r="F222" t="inlineStr">
        <is>
          <t>Kommuner</t>
        </is>
      </c>
      <c r="G222" t="n">
        <v>0.8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29590-2022</t>
        </is>
      </c>
      <c r="B223" s="1" t="n">
        <v>44754</v>
      </c>
      <c r="C223" s="1" t="n">
        <v>45666</v>
      </c>
      <c r="D223" t="inlineStr">
        <is>
          <t>VÄRMLANDS LÄN</t>
        </is>
      </c>
      <c r="E223" t="inlineStr">
        <is>
          <t>FORSHAGA</t>
        </is>
      </c>
      <c r="F223" t="inlineStr">
        <is>
          <t>Kommuner</t>
        </is>
      </c>
      <c r="G223" t="n">
        <v>0.4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29587-2022</t>
        </is>
      </c>
      <c r="B224" s="1" t="n">
        <v>44754</v>
      </c>
      <c r="C224" s="1" t="n">
        <v>45666</v>
      </c>
      <c r="D224" t="inlineStr">
        <is>
          <t>VÄRMLANDS LÄN</t>
        </is>
      </c>
      <c r="E224" t="inlineStr">
        <is>
          <t>FORSHAGA</t>
        </is>
      </c>
      <c r="F224" t="inlineStr">
        <is>
          <t>Kommuner</t>
        </is>
      </c>
      <c r="G224" t="n">
        <v>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29852-2022</t>
        </is>
      </c>
      <c r="B225" s="1" t="n">
        <v>44756</v>
      </c>
      <c r="C225" s="1" t="n">
        <v>45666</v>
      </c>
      <c r="D225" t="inlineStr">
        <is>
          <t>VÄRMLANDS LÄN</t>
        </is>
      </c>
      <c r="E225" t="inlineStr">
        <is>
          <t>FORSHAGA</t>
        </is>
      </c>
      <c r="G225" t="n">
        <v>5.9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31251-2022</t>
        </is>
      </c>
      <c r="B226" s="1" t="n">
        <v>44771</v>
      </c>
      <c r="C226" s="1" t="n">
        <v>45666</v>
      </c>
      <c r="D226" t="inlineStr">
        <is>
          <t>VÄRMLANDS LÄN</t>
        </is>
      </c>
      <c r="E226" t="inlineStr">
        <is>
          <t>FORSHAGA</t>
        </is>
      </c>
      <c r="G226" t="n">
        <v>0.6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33033-2022</t>
        </is>
      </c>
      <c r="B227" s="1" t="n">
        <v>44785</v>
      </c>
      <c r="C227" s="1" t="n">
        <v>45666</v>
      </c>
      <c r="D227" t="inlineStr">
        <is>
          <t>VÄRMLANDS LÄN</t>
        </is>
      </c>
      <c r="E227" t="inlineStr">
        <is>
          <t>FORSHAGA</t>
        </is>
      </c>
      <c r="F227" t="inlineStr">
        <is>
          <t>Bergvik skog väst AB</t>
        </is>
      </c>
      <c r="G227" t="n">
        <v>0.4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33037-2022</t>
        </is>
      </c>
      <c r="B228" s="1" t="n">
        <v>44785</v>
      </c>
      <c r="C228" s="1" t="n">
        <v>45666</v>
      </c>
      <c r="D228" t="inlineStr">
        <is>
          <t>VÄRMLANDS LÄN</t>
        </is>
      </c>
      <c r="E228" t="inlineStr">
        <is>
          <t>FORSHAGA</t>
        </is>
      </c>
      <c r="F228" t="inlineStr">
        <is>
          <t>Bergvik skog väst AB</t>
        </is>
      </c>
      <c r="G228" t="n">
        <v>6.4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33951-2022</t>
        </is>
      </c>
      <c r="B229" s="1" t="n">
        <v>44790</v>
      </c>
      <c r="C229" s="1" t="n">
        <v>45666</v>
      </c>
      <c r="D229" t="inlineStr">
        <is>
          <t>VÄRMLANDS LÄN</t>
        </is>
      </c>
      <c r="E229" t="inlineStr">
        <is>
          <t>FORSHAGA</t>
        </is>
      </c>
      <c r="G229" t="n">
        <v>0.6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34861-2022</t>
        </is>
      </c>
      <c r="B230" s="1" t="n">
        <v>44796</v>
      </c>
      <c r="C230" s="1" t="n">
        <v>45666</v>
      </c>
      <c r="D230" t="inlineStr">
        <is>
          <t>VÄRMLANDS LÄN</t>
        </is>
      </c>
      <c r="E230" t="inlineStr">
        <is>
          <t>FORSHAGA</t>
        </is>
      </c>
      <c r="G230" t="n">
        <v>1.5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34845-2022</t>
        </is>
      </c>
      <c r="B231" s="1" t="n">
        <v>44796</v>
      </c>
      <c r="C231" s="1" t="n">
        <v>45666</v>
      </c>
      <c r="D231" t="inlineStr">
        <is>
          <t>VÄRMLANDS LÄN</t>
        </is>
      </c>
      <c r="E231" t="inlineStr">
        <is>
          <t>FORSHAGA</t>
        </is>
      </c>
      <c r="G231" t="n">
        <v>2.4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37543-2022</t>
        </is>
      </c>
      <c r="B232" s="1" t="n">
        <v>44809</v>
      </c>
      <c r="C232" s="1" t="n">
        <v>45666</v>
      </c>
      <c r="D232" t="inlineStr">
        <is>
          <t>VÄRMLANDS LÄN</t>
        </is>
      </c>
      <c r="E232" t="inlineStr">
        <is>
          <t>FORSHAGA</t>
        </is>
      </c>
      <c r="G232" t="n">
        <v>2.1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38261-2022</t>
        </is>
      </c>
      <c r="B233" s="1" t="n">
        <v>44812</v>
      </c>
      <c r="C233" s="1" t="n">
        <v>45666</v>
      </c>
      <c r="D233" t="inlineStr">
        <is>
          <t>VÄRMLANDS LÄN</t>
        </is>
      </c>
      <c r="E233" t="inlineStr">
        <is>
          <t>FORSHAGA</t>
        </is>
      </c>
      <c r="G233" t="n">
        <v>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38850-2022</t>
        </is>
      </c>
      <c r="B234" s="1" t="n">
        <v>44816</v>
      </c>
      <c r="C234" s="1" t="n">
        <v>45666</v>
      </c>
      <c r="D234" t="inlineStr">
        <is>
          <t>VÄRMLANDS LÄN</t>
        </is>
      </c>
      <c r="E234" t="inlineStr">
        <is>
          <t>FORSHAGA</t>
        </is>
      </c>
      <c r="G234" t="n">
        <v>4.7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38788-2022</t>
        </is>
      </c>
      <c r="B235" s="1" t="n">
        <v>44816</v>
      </c>
      <c r="C235" s="1" t="n">
        <v>45666</v>
      </c>
      <c r="D235" t="inlineStr">
        <is>
          <t>VÄRMLANDS LÄN</t>
        </is>
      </c>
      <c r="E235" t="inlineStr">
        <is>
          <t>FORSHAGA</t>
        </is>
      </c>
      <c r="G235" t="n">
        <v>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40968-2022</t>
        </is>
      </c>
      <c r="B236" s="1" t="n">
        <v>44823</v>
      </c>
      <c r="C236" s="1" t="n">
        <v>45666</v>
      </c>
      <c r="D236" t="inlineStr">
        <is>
          <t>VÄRMLANDS LÄN</t>
        </is>
      </c>
      <c r="E236" t="inlineStr">
        <is>
          <t>FORSHAGA</t>
        </is>
      </c>
      <c r="G236" t="n">
        <v>16.5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43472-2022</t>
        </is>
      </c>
      <c r="B237" s="1" t="n">
        <v>44836</v>
      </c>
      <c r="C237" s="1" t="n">
        <v>45666</v>
      </c>
      <c r="D237" t="inlineStr">
        <is>
          <t>VÄRMLANDS LÄN</t>
        </is>
      </c>
      <c r="E237" t="inlineStr">
        <is>
          <t>FORSHAGA</t>
        </is>
      </c>
      <c r="G237" t="n">
        <v>4.6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44077-2022</t>
        </is>
      </c>
      <c r="B238" s="1" t="n">
        <v>44839</v>
      </c>
      <c r="C238" s="1" t="n">
        <v>45666</v>
      </c>
      <c r="D238" t="inlineStr">
        <is>
          <t>VÄRMLANDS LÄN</t>
        </is>
      </c>
      <c r="E238" t="inlineStr">
        <is>
          <t>FORSHAGA</t>
        </is>
      </c>
      <c r="G238" t="n">
        <v>4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44456-2022</t>
        </is>
      </c>
      <c r="B239" s="1" t="n">
        <v>44839</v>
      </c>
      <c r="C239" s="1" t="n">
        <v>45666</v>
      </c>
      <c r="D239" t="inlineStr">
        <is>
          <t>VÄRMLANDS LÄN</t>
        </is>
      </c>
      <c r="E239" t="inlineStr">
        <is>
          <t>FORSHAGA</t>
        </is>
      </c>
      <c r="G239" t="n">
        <v>6.5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46300-2022</t>
        </is>
      </c>
      <c r="B240" s="1" t="n">
        <v>44847</v>
      </c>
      <c r="C240" s="1" t="n">
        <v>45666</v>
      </c>
      <c r="D240" t="inlineStr">
        <is>
          <t>VÄRMLANDS LÄN</t>
        </is>
      </c>
      <c r="E240" t="inlineStr">
        <is>
          <t>FORSHAGA</t>
        </is>
      </c>
      <c r="G240" t="n">
        <v>0.7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47126-2022</t>
        </is>
      </c>
      <c r="B241" s="1" t="n">
        <v>44852</v>
      </c>
      <c r="C241" s="1" t="n">
        <v>45666</v>
      </c>
      <c r="D241" t="inlineStr">
        <is>
          <t>VÄRMLANDS LÄN</t>
        </is>
      </c>
      <c r="E241" t="inlineStr">
        <is>
          <t>FORSHAGA</t>
        </is>
      </c>
      <c r="F241" t="inlineStr">
        <is>
          <t>Bergvik skog väst AB</t>
        </is>
      </c>
      <c r="G241" t="n">
        <v>7.3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50060-2022</t>
        </is>
      </c>
      <c r="B242" s="1" t="n">
        <v>44865</v>
      </c>
      <c r="C242" s="1" t="n">
        <v>45666</v>
      </c>
      <c r="D242" t="inlineStr">
        <is>
          <t>VÄRMLANDS LÄN</t>
        </is>
      </c>
      <c r="E242" t="inlineStr">
        <is>
          <t>FORSHAGA</t>
        </is>
      </c>
      <c r="G242" t="n">
        <v>2.5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50068-2022</t>
        </is>
      </c>
      <c r="B243" s="1" t="n">
        <v>44865</v>
      </c>
      <c r="C243" s="1" t="n">
        <v>45666</v>
      </c>
      <c r="D243" t="inlineStr">
        <is>
          <t>VÄRMLANDS LÄN</t>
        </is>
      </c>
      <c r="E243" t="inlineStr">
        <is>
          <t>FORSHAGA</t>
        </is>
      </c>
      <c r="G243" t="n">
        <v>2.4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51188-2022</t>
        </is>
      </c>
      <c r="B244" s="1" t="n">
        <v>44868</v>
      </c>
      <c r="C244" s="1" t="n">
        <v>45666</v>
      </c>
      <c r="D244" t="inlineStr">
        <is>
          <t>VÄRMLANDS LÄN</t>
        </is>
      </c>
      <c r="E244" t="inlineStr">
        <is>
          <t>FORSHAGA</t>
        </is>
      </c>
      <c r="F244" t="inlineStr">
        <is>
          <t>Bergvik skog väst AB</t>
        </is>
      </c>
      <c r="G244" t="n">
        <v>3.6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51296-2022</t>
        </is>
      </c>
      <c r="B245" s="1" t="n">
        <v>44868</v>
      </c>
      <c r="C245" s="1" t="n">
        <v>45666</v>
      </c>
      <c r="D245" t="inlineStr">
        <is>
          <t>VÄRMLANDS LÄN</t>
        </is>
      </c>
      <c r="E245" t="inlineStr">
        <is>
          <t>FORSHAGA</t>
        </is>
      </c>
      <c r="G245" t="n">
        <v>2.4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51187-2022</t>
        </is>
      </c>
      <c r="B246" s="1" t="n">
        <v>44868</v>
      </c>
      <c r="C246" s="1" t="n">
        <v>45666</v>
      </c>
      <c r="D246" t="inlineStr">
        <is>
          <t>VÄRMLANDS LÄN</t>
        </is>
      </c>
      <c r="E246" t="inlineStr">
        <is>
          <t>FORSHAGA</t>
        </is>
      </c>
      <c r="F246" t="inlineStr">
        <is>
          <t>Bergvik skog väst AB</t>
        </is>
      </c>
      <c r="G246" t="n">
        <v>3.3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53074-2022</t>
        </is>
      </c>
      <c r="B247" s="1" t="n">
        <v>44876</v>
      </c>
      <c r="C247" s="1" t="n">
        <v>45666</v>
      </c>
      <c r="D247" t="inlineStr">
        <is>
          <t>VÄRMLANDS LÄN</t>
        </is>
      </c>
      <c r="E247" t="inlineStr">
        <is>
          <t>FORSHAGA</t>
        </is>
      </c>
      <c r="G247" t="n">
        <v>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53181-2022</t>
        </is>
      </c>
      <c r="B248" s="1" t="n">
        <v>44876</v>
      </c>
      <c r="C248" s="1" t="n">
        <v>45666</v>
      </c>
      <c r="D248" t="inlineStr">
        <is>
          <t>VÄRMLANDS LÄN</t>
        </is>
      </c>
      <c r="E248" t="inlineStr">
        <is>
          <t>FORSHAGA</t>
        </is>
      </c>
      <c r="F248" t="inlineStr">
        <is>
          <t>Bergvik skog väst AB</t>
        </is>
      </c>
      <c r="G248" t="n">
        <v>8.1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53706-2022</t>
        </is>
      </c>
      <c r="B249" s="1" t="n">
        <v>44880</v>
      </c>
      <c r="C249" s="1" t="n">
        <v>45666</v>
      </c>
      <c r="D249" t="inlineStr">
        <is>
          <t>VÄRMLANDS LÄN</t>
        </is>
      </c>
      <c r="E249" t="inlineStr">
        <is>
          <t>FORSHAGA</t>
        </is>
      </c>
      <c r="F249" t="inlineStr">
        <is>
          <t>Bergvik skog väst AB</t>
        </is>
      </c>
      <c r="G249" t="n">
        <v>17.7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53913-2022</t>
        </is>
      </c>
      <c r="B250" s="1" t="n">
        <v>44880</v>
      </c>
      <c r="C250" s="1" t="n">
        <v>45666</v>
      </c>
      <c r="D250" t="inlineStr">
        <is>
          <t>VÄRMLANDS LÄN</t>
        </is>
      </c>
      <c r="E250" t="inlineStr">
        <is>
          <t>FORSHAGA</t>
        </is>
      </c>
      <c r="G250" t="n">
        <v>0.6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53910-2022</t>
        </is>
      </c>
      <c r="B251" s="1" t="n">
        <v>44880</v>
      </c>
      <c r="C251" s="1" t="n">
        <v>45666</v>
      </c>
      <c r="D251" t="inlineStr">
        <is>
          <t>VÄRMLANDS LÄN</t>
        </is>
      </c>
      <c r="E251" t="inlineStr">
        <is>
          <t>FORSHAGA</t>
        </is>
      </c>
      <c r="G251" t="n">
        <v>1.4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53912-2022</t>
        </is>
      </c>
      <c r="B252" s="1" t="n">
        <v>44880</v>
      </c>
      <c r="C252" s="1" t="n">
        <v>45666</v>
      </c>
      <c r="D252" t="inlineStr">
        <is>
          <t>VÄRMLANDS LÄN</t>
        </is>
      </c>
      <c r="E252" t="inlineStr">
        <is>
          <t>FORSHAGA</t>
        </is>
      </c>
      <c r="G252" t="n">
        <v>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54170-2022</t>
        </is>
      </c>
      <c r="B253" s="1" t="n">
        <v>44881</v>
      </c>
      <c r="C253" s="1" t="n">
        <v>45666</v>
      </c>
      <c r="D253" t="inlineStr">
        <is>
          <t>VÄRMLANDS LÄN</t>
        </is>
      </c>
      <c r="E253" t="inlineStr">
        <is>
          <t>FORSHAGA</t>
        </is>
      </c>
      <c r="G253" t="n">
        <v>2.2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55722-2022</t>
        </is>
      </c>
      <c r="B254" s="1" t="n">
        <v>44888</v>
      </c>
      <c r="C254" s="1" t="n">
        <v>45666</v>
      </c>
      <c r="D254" t="inlineStr">
        <is>
          <t>VÄRMLANDS LÄN</t>
        </is>
      </c>
      <c r="E254" t="inlineStr">
        <is>
          <t>FORSHAGA</t>
        </is>
      </c>
      <c r="F254" t="inlineStr">
        <is>
          <t>Bergvik skog väst AB</t>
        </is>
      </c>
      <c r="G254" t="n">
        <v>7.4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56302-2022</t>
        </is>
      </c>
      <c r="B255" s="1" t="n">
        <v>44890</v>
      </c>
      <c r="C255" s="1" t="n">
        <v>45666</v>
      </c>
      <c r="D255" t="inlineStr">
        <is>
          <t>VÄRMLANDS LÄN</t>
        </is>
      </c>
      <c r="E255" t="inlineStr">
        <is>
          <t>FORSHAGA</t>
        </is>
      </c>
      <c r="F255" t="inlineStr">
        <is>
          <t>Bergvik skog väst AB</t>
        </is>
      </c>
      <c r="G255" t="n">
        <v>3.1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56748-2022</t>
        </is>
      </c>
      <c r="B256" s="1" t="n">
        <v>44894</v>
      </c>
      <c r="C256" s="1" t="n">
        <v>45666</v>
      </c>
      <c r="D256" t="inlineStr">
        <is>
          <t>VÄRMLANDS LÄN</t>
        </is>
      </c>
      <c r="E256" t="inlineStr">
        <is>
          <t>FORSHAGA</t>
        </is>
      </c>
      <c r="F256" t="inlineStr">
        <is>
          <t>Bergvik skog väst AB</t>
        </is>
      </c>
      <c r="G256" t="n">
        <v>8.199999999999999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57080-2022</t>
        </is>
      </c>
      <c r="B257" s="1" t="n">
        <v>44895</v>
      </c>
      <c r="C257" s="1" t="n">
        <v>45666</v>
      </c>
      <c r="D257" t="inlineStr">
        <is>
          <t>VÄRMLANDS LÄN</t>
        </is>
      </c>
      <c r="E257" t="inlineStr">
        <is>
          <t>FORSHAGA</t>
        </is>
      </c>
      <c r="F257" t="inlineStr">
        <is>
          <t>Bergvik skog väst AB</t>
        </is>
      </c>
      <c r="G257" t="n">
        <v>14.6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57307-2022</t>
        </is>
      </c>
      <c r="B258" s="1" t="n">
        <v>44896</v>
      </c>
      <c r="C258" s="1" t="n">
        <v>45666</v>
      </c>
      <c r="D258" t="inlineStr">
        <is>
          <t>VÄRMLANDS LÄN</t>
        </is>
      </c>
      <c r="E258" t="inlineStr">
        <is>
          <t>FORSHAGA</t>
        </is>
      </c>
      <c r="G258" t="n">
        <v>1.1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58380-2022</t>
        </is>
      </c>
      <c r="B259" s="1" t="n">
        <v>44901</v>
      </c>
      <c r="C259" s="1" t="n">
        <v>45666</v>
      </c>
      <c r="D259" t="inlineStr">
        <is>
          <t>VÄRMLANDS LÄN</t>
        </is>
      </c>
      <c r="E259" t="inlineStr">
        <is>
          <t>FORSHAGA</t>
        </is>
      </c>
      <c r="F259" t="inlineStr">
        <is>
          <t>Bergvik skog väst AB</t>
        </is>
      </c>
      <c r="G259" t="n">
        <v>4.9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60043-2022</t>
        </is>
      </c>
      <c r="B260" s="1" t="n">
        <v>44902</v>
      </c>
      <c r="C260" s="1" t="n">
        <v>45666</v>
      </c>
      <c r="D260" t="inlineStr">
        <is>
          <t>VÄRMLANDS LÄN</t>
        </is>
      </c>
      <c r="E260" t="inlineStr">
        <is>
          <t>FORSHAGA</t>
        </is>
      </c>
      <c r="G260" t="n">
        <v>0.9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60045-2022</t>
        </is>
      </c>
      <c r="B261" s="1" t="n">
        <v>44902</v>
      </c>
      <c r="C261" s="1" t="n">
        <v>45666</v>
      </c>
      <c r="D261" t="inlineStr">
        <is>
          <t>VÄRMLANDS LÄN</t>
        </is>
      </c>
      <c r="E261" t="inlineStr">
        <is>
          <t>FORSHAGA</t>
        </is>
      </c>
      <c r="G261" t="n">
        <v>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60044-2022</t>
        </is>
      </c>
      <c r="B262" s="1" t="n">
        <v>44902</v>
      </c>
      <c r="C262" s="1" t="n">
        <v>45666</v>
      </c>
      <c r="D262" t="inlineStr">
        <is>
          <t>VÄRMLANDS LÄN</t>
        </is>
      </c>
      <c r="E262" t="inlineStr">
        <is>
          <t>FORSHAGA</t>
        </is>
      </c>
      <c r="G262" t="n">
        <v>2.5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59423-2022</t>
        </is>
      </c>
      <c r="B263" s="1" t="n">
        <v>44907</v>
      </c>
      <c r="C263" s="1" t="n">
        <v>45666</v>
      </c>
      <c r="D263" t="inlineStr">
        <is>
          <t>VÄRMLANDS LÄN</t>
        </is>
      </c>
      <c r="E263" t="inlineStr">
        <is>
          <t>FORSHAGA</t>
        </is>
      </c>
      <c r="G263" t="n">
        <v>1.3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59537-2022</t>
        </is>
      </c>
      <c r="B264" s="1" t="n">
        <v>44907</v>
      </c>
      <c r="C264" s="1" t="n">
        <v>45666</v>
      </c>
      <c r="D264" t="inlineStr">
        <is>
          <t>VÄRMLANDS LÄN</t>
        </is>
      </c>
      <c r="E264" t="inlineStr">
        <is>
          <t>FORSHAGA</t>
        </is>
      </c>
      <c r="G264" t="n">
        <v>1.6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59810-2022</t>
        </is>
      </c>
      <c r="B265" s="1" t="n">
        <v>44908</v>
      </c>
      <c r="C265" s="1" t="n">
        <v>45666</v>
      </c>
      <c r="D265" t="inlineStr">
        <is>
          <t>VÄRMLANDS LÄN</t>
        </is>
      </c>
      <c r="E265" t="inlineStr">
        <is>
          <t>FORSHAGA</t>
        </is>
      </c>
      <c r="F265" t="inlineStr">
        <is>
          <t>Bergvik skog väst AB</t>
        </is>
      </c>
      <c r="G265" t="n">
        <v>17.4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60296-2022</t>
        </is>
      </c>
      <c r="B266" s="1" t="n">
        <v>44910</v>
      </c>
      <c r="C266" s="1" t="n">
        <v>45666</v>
      </c>
      <c r="D266" t="inlineStr">
        <is>
          <t>VÄRMLANDS LÄN</t>
        </is>
      </c>
      <c r="E266" t="inlineStr">
        <is>
          <t>FORSHAGA</t>
        </is>
      </c>
      <c r="F266" t="inlineStr">
        <is>
          <t>Bergvik skog väst AB</t>
        </is>
      </c>
      <c r="G266" t="n">
        <v>4.2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60341-2022</t>
        </is>
      </c>
      <c r="B267" s="1" t="n">
        <v>44910</v>
      </c>
      <c r="C267" s="1" t="n">
        <v>45666</v>
      </c>
      <c r="D267" t="inlineStr">
        <is>
          <t>VÄRMLANDS LÄN</t>
        </is>
      </c>
      <c r="E267" t="inlineStr">
        <is>
          <t>FORSHAGA</t>
        </is>
      </c>
      <c r="F267" t="inlineStr">
        <is>
          <t>Bergvik skog väst AB</t>
        </is>
      </c>
      <c r="G267" t="n">
        <v>11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61231-2022</t>
        </is>
      </c>
      <c r="B268" s="1" t="n">
        <v>44915</v>
      </c>
      <c r="C268" s="1" t="n">
        <v>45666</v>
      </c>
      <c r="D268" t="inlineStr">
        <is>
          <t>VÄRMLANDS LÄN</t>
        </is>
      </c>
      <c r="E268" t="inlineStr">
        <is>
          <t>FORSHAGA</t>
        </is>
      </c>
      <c r="G268" t="n">
        <v>2.6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61457-2022</t>
        </is>
      </c>
      <c r="B269" s="1" t="n">
        <v>44916</v>
      </c>
      <c r="C269" s="1" t="n">
        <v>45666</v>
      </c>
      <c r="D269" t="inlineStr">
        <is>
          <t>VÄRMLANDS LÄN</t>
        </is>
      </c>
      <c r="E269" t="inlineStr">
        <is>
          <t>FORSHAGA</t>
        </is>
      </c>
      <c r="G269" t="n">
        <v>4.3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61463-2022</t>
        </is>
      </c>
      <c r="B270" s="1" t="n">
        <v>44916</v>
      </c>
      <c r="C270" s="1" t="n">
        <v>45666</v>
      </c>
      <c r="D270" t="inlineStr">
        <is>
          <t>VÄRMLANDS LÄN</t>
        </is>
      </c>
      <c r="E270" t="inlineStr">
        <is>
          <t>FORSHAGA</t>
        </is>
      </c>
      <c r="G270" t="n">
        <v>1.6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61838-2022</t>
        </is>
      </c>
      <c r="B271" s="1" t="n">
        <v>44917</v>
      </c>
      <c r="C271" s="1" t="n">
        <v>45666</v>
      </c>
      <c r="D271" t="inlineStr">
        <is>
          <t>VÄRMLANDS LÄN</t>
        </is>
      </c>
      <c r="E271" t="inlineStr">
        <is>
          <t>FORSHAGA</t>
        </is>
      </c>
      <c r="G271" t="n">
        <v>2.2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820-2023</t>
        </is>
      </c>
      <c r="B272" s="1" t="n">
        <v>44931</v>
      </c>
      <c r="C272" s="1" t="n">
        <v>45666</v>
      </c>
      <c r="D272" t="inlineStr">
        <is>
          <t>VÄRMLANDS LÄN</t>
        </is>
      </c>
      <c r="E272" t="inlineStr">
        <is>
          <t>FORSHAGA</t>
        </is>
      </c>
      <c r="G272" t="n">
        <v>3.5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1338-2023</t>
        </is>
      </c>
      <c r="B273" s="1" t="n">
        <v>44936</v>
      </c>
      <c r="C273" s="1" t="n">
        <v>45666</v>
      </c>
      <c r="D273" t="inlineStr">
        <is>
          <t>VÄRMLANDS LÄN</t>
        </is>
      </c>
      <c r="E273" t="inlineStr">
        <is>
          <t>FORSHAGA</t>
        </is>
      </c>
      <c r="G273" t="n">
        <v>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1656-2023</t>
        </is>
      </c>
      <c r="B274" s="1" t="n">
        <v>44938</v>
      </c>
      <c r="C274" s="1" t="n">
        <v>45666</v>
      </c>
      <c r="D274" t="inlineStr">
        <is>
          <t>VÄRMLANDS LÄN</t>
        </is>
      </c>
      <c r="E274" t="inlineStr">
        <is>
          <t>FORSHAGA</t>
        </is>
      </c>
      <c r="G274" t="n">
        <v>4.4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2812-2023</t>
        </is>
      </c>
      <c r="B275" s="1" t="n">
        <v>44944</v>
      </c>
      <c r="C275" s="1" t="n">
        <v>45666</v>
      </c>
      <c r="D275" t="inlineStr">
        <is>
          <t>VÄRMLANDS LÄN</t>
        </is>
      </c>
      <c r="E275" t="inlineStr">
        <is>
          <t>FORSHAGA</t>
        </is>
      </c>
      <c r="G275" t="n">
        <v>0.7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6724-2023</t>
        </is>
      </c>
      <c r="B276" s="1" t="n">
        <v>44966</v>
      </c>
      <c r="C276" s="1" t="n">
        <v>45666</v>
      </c>
      <c r="D276" t="inlineStr">
        <is>
          <t>VÄRMLANDS LÄN</t>
        </is>
      </c>
      <c r="E276" t="inlineStr">
        <is>
          <t>FORSHAGA</t>
        </is>
      </c>
      <c r="F276" t="inlineStr">
        <is>
          <t>Kyrkan</t>
        </is>
      </c>
      <c r="G276" t="n">
        <v>6.4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6986-2023</t>
        </is>
      </c>
      <c r="B277" s="1" t="n">
        <v>44967</v>
      </c>
      <c r="C277" s="1" t="n">
        <v>45666</v>
      </c>
      <c r="D277" t="inlineStr">
        <is>
          <t>VÄRMLANDS LÄN</t>
        </is>
      </c>
      <c r="E277" t="inlineStr">
        <is>
          <t>FORSHAGA</t>
        </is>
      </c>
      <c r="G277" t="n">
        <v>2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7273-2023</t>
        </is>
      </c>
      <c r="B278" s="1" t="n">
        <v>44970</v>
      </c>
      <c r="C278" s="1" t="n">
        <v>45666</v>
      </c>
      <c r="D278" t="inlineStr">
        <is>
          <t>VÄRMLANDS LÄN</t>
        </is>
      </c>
      <c r="E278" t="inlineStr">
        <is>
          <t>FORSHAGA</t>
        </is>
      </c>
      <c r="G278" t="n">
        <v>1.9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7297-2023</t>
        </is>
      </c>
      <c r="B279" s="1" t="n">
        <v>44970</v>
      </c>
      <c r="C279" s="1" t="n">
        <v>45666</v>
      </c>
      <c r="D279" t="inlineStr">
        <is>
          <t>VÄRMLANDS LÄN</t>
        </is>
      </c>
      <c r="E279" t="inlineStr">
        <is>
          <t>FORSHAGA</t>
        </is>
      </c>
      <c r="G279" t="n">
        <v>1.5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7299-2023</t>
        </is>
      </c>
      <c r="B280" s="1" t="n">
        <v>44970</v>
      </c>
      <c r="C280" s="1" t="n">
        <v>45666</v>
      </c>
      <c r="D280" t="inlineStr">
        <is>
          <t>VÄRMLANDS LÄN</t>
        </is>
      </c>
      <c r="E280" t="inlineStr">
        <is>
          <t>FORSHAGA</t>
        </is>
      </c>
      <c r="G280" t="n">
        <v>0.3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7294-2023</t>
        </is>
      </c>
      <c r="B281" s="1" t="n">
        <v>44970</v>
      </c>
      <c r="C281" s="1" t="n">
        <v>45666</v>
      </c>
      <c r="D281" t="inlineStr">
        <is>
          <t>VÄRMLANDS LÄN</t>
        </is>
      </c>
      <c r="E281" t="inlineStr">
        <is>
          <t>FORSHAGA</t>
        </is>
      </c>
      <c r="G281" t="n">
        <v>1.1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7486-2023</t>
        </is>
      </c>
      <c r="B282" s="1" t="n">
        <v>44971</v>
      </c>
      <c r="C282" s="1" t="n">
        <v>45666</v>
      </c>
      <c r="D282" t="inlineStr">
        <is>
          <t>VÄRMLANDS LÄN</t>
        </is>
      </c>
      <c r="E282" t="inlineStr">
        <is>
          <t>FORSHAGA</t>
        </is>
      </c>
      <c r="G282" t="n">
        <v>7.3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7690-2023</t>
        </is>
      </c>
      <c r="B283" s="1" t="n">
        <v>44972</v>
      </c>
      <c r="C283" s="1" t="n">
        <v>45666</v>
      </c>
      <c r="D283" t="inlineStr">
        <is>
          <t>VÄRMLANDS LÄN</t>
        </is>
      </c>
      <c r="E283" t="inlineStr">
        <is>
          <t>FORSHAGA</t>
        </is>
      </c>
      <c r="G283" t="n">
        <v>2.1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7697-2023</t>
        </is>
      </c>
      <c r="B284" s="1" t="n">
        <v>44972</v>
      </c>
      <c r="C284" s="1" t="n">
        <v>45666</v>
      </c>
      <c r="D284" t="inlineStr">
        <is>
          <t>VÄRMLANDS LÄN</t>
        </is>
      </c>
      <c r="E284" t="inlineStr">
        <is>
          <t>FORSHAGA</t>
        </is>
      </c>
      <c r="G284" t="n">
        <v>5.5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7919-2023</t>
        </is>
      </c>
      <c r="B285" s="1" t="n">
        <v>44973</v>
      </c>
      <c r="C285" s="1" t="n">
        <v>45666</v>
      </c>
      <c r="D285" t="inlineStr">
        <is>
          <t>VÄRMLANDS LÄN</t>
        </is>
      </c>
      <c r="E285" t="inlineStr">
        <is>
          <t>FORSHAGA</t>
        </is>
      </c>
      <c r="G285" t="n">
        <v>0.6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10383-2023</t>
        </is>
      </c>
      <c r="B286" s="1" t="n">
        <v>44987</v>
      </c>
      <c r="C286" s="1" t="n">
        <v>45666</v>
      </c>
      <c r="D286" t="inlineStr">
        <is>
          <t>VÄRMLANDS LÄN</t>
        </is>
      </c>
      <c r="E286" t="inlineStr">
        <is>
          <t>FORSHAGA</t>
        </is>
      </c>
      <c r="G286" t="n">
        <v>1.3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10964-2023</t>
        </is>
      </c>
      <c r="B287" s="1" t="n">
        <v>44991</v>
      </c>
      <c r="C287" s="1" t="n">
        <v>45666</v>
      </c>
      <c r="D287" t="inlineStr">
        <is>
          <t>VÄRMLANDS LÄN</t>
        </is>
      </c>
      <c r="E287" t="inlineStr">
        <is>
          <t>FORSHAGA</t>
        </is>
      </c>
      <c r="G287" t="n">
        <v>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10960-2023</t>
        </is>
      </c>
      <c r="B288" s="1" t="n">
        <v>44991</v>
      </c>
      <c r="C288" s="1" t="n">
        <v>45666</v>
      </c>
      <c r="D288" t="inlineStr">
        <is>
          <t>VÄRMLANDS LÄN</t>
        </is>
      </c>
      <c r="E288" t="inlineStr">
        <is>
          <t>FORSHAGA</t>
        </is>
      </c>
      <c r="G288" t="n">
        <v>0.7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13147-2023</t>
        </is>
      </c>
      <c r="B289" s="1" t="n">
        <v>45002</v>
      </c>
      <c r="C289" s="1" t="n">
        <v>45666</v>
      </c>
      <c r="D289" t="inlineStr">
        <is>
          <t>VÄRMLANDS LÄN</t>
        </is>
      </c>
      <c r="E289" t="inlineStr">
        <is>
          <t>FORSHAGA</t>
        </is>
      </c>
      <c r="F289" t="inlineStr">
        <is>
          <t>Bergvik skog väst AB</t>
        </is>
      </c>
      <c r="G289" t="n">
        <v>3.9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13208-2023</t>
        </is>
      </c>
      <c r="B290" s="1" t="n">
        <v>45002</v>
      </c>
      <c r="C290" s="1" t="n">
        <v>45666</v>
      </c>
      <c r="D290" t="inlineStr">
        <is>
          <t>VÄRMLANDS LÄN</t>
        </is>
      </c>
      <c r="E290" t="inlineStr">
        <is>
          <t>FORSHAGA</t>
        </is>
      </c>
      <c r="G290" t="n">
        <v>1.5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13184-2023</t>
        </is>
      </c>
      <c r="B291" s="1" t="n">
        <v>45002</v>
      </c>
      <c r="C291" s="1" t="n">
        <v>45666</v>
      </c>
      <c r="D291" t="inlineStr">
        <is>
          <t>VÄRMLANDS LÄN</t>
        </is>
      </c>
      <c r="E291" t="inlineStr">
        <is>
          <t>FORSHAGA</t>
        </is>
      </c>
      <c r="F291" t="inlineStr">
        <is>
          <t>Bergvik skog väst AB</t>
        </is>
      </c>
      <c r="G291" t="n">
        <v>1.2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14378-2023</t>
        </is>
      </c>
      <c r="B292" s="1" t="n">
        <v>45012</v>
      </c>
      <c r="C292" s="1" t="n">
        <v>45666</v>
      </c>
      <c r="D292" t="inlineStr">
        <is>
          <t>VÄRMLANDS LÄN</t>
        </is>
      </c>
      <c r="E292" t="inlineStr">
        <is>
          <t>FORSHAGA</t>
        </is>
      </c>
      <c r="G292" t="n">
        <v>0.7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14382-2023</t>
        </is>
      </c>
      <c r="B293" s="1" t="n">
        <v>45012</v>
      </c>
      <c r="C293" s="1" t="n">
        <v>45666</v>
      </c>
      <c r="D293" t="inlineStr">
        <is>
          <t>VÄRMLANDS LÄN</t>
        </is>
      </c>
      <c r="E293" t="inlineStr">
        <is>
          <t>FORSHAGA</t>
        </is>
      </c>
      <c r="F293" t="inlineStr">
        <is>
          <t>Bergvik skog väst AB</t>
        </is>
      </c>
      <c r="G293" t="n">
        <v>2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17628-2023</t>
        </is>
      </c>
      <c r="B294" s="1" t="n">
        <v>45036</v>
      </c>
      <c r="C294" s="1" t="n">
        <v>45666</v>
      </c>
      <c r="D294" t="inlineStr">
        <is>
          <t>VÄRMLANDS LÄN</t>
        </is>
      </c>
      <c r="E294" t="inlineStr">
        <is>
          <t>FORSHAGA</t>
        </is>
      </c>
      <c r="G294" t="n">
        <v>6.5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17677-2023</t>
        </is>
      </c>
      <c r="B295" s="1" t="n">
        <v>45037</v>
      </c>
      <c r="C295" s="1" t="n">
        <v>45666</v>
      </c>
      <c r="D295" t="inlineStr">
        <is>
          <t>VÄRMLANDS LÄN</t>
        </is>
      </c>
      <c r="E295" t="inlineStr">
        <is>
          <t>FORSHAGA</t>
        </is>
      </c>
      <c r="G295" t="n">
        <v>7.2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18271-2023</t>
        </is>
      </c>
      <c r="B296" s="1" t="n">
        <v>45041</v>
      </c>
      <c r="C296" s="1" t="n">
        <v>45666</v>
      </c>
      <c r="D296" t="inlineStr">
        <is>
          <t>VÄRMLANDS LÄN</t>
        </is>
      </c>
      <c r="E296" t="inlineStr">
        <is>
          <t>FORSHAGA</t>
        </is>
      </c>
      <c r="F296" t="inlineStr">
        <is>
          <t>Bergvik skog väst AB</t>
        </is>
      </c>
      <c r="G296" t="n">
        <v>1.4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18503-2023</t>
        </is>
      </c>
      <c r="B297" s="1" t="n">
        <v>45042</v>
      </c>
      <c r="C297" s="1" t="n">
        <v>45666</v>
      </c>
      <c r="D297" t="inlineStr">
        <is>
          <t>VÄRMLANDS LÄN</t>
        </is>
      </c>
      <c r="E297" t="inlineStr">
        <is>
          <t>FORSHAGA</t>
        </is>
      </c>
      <c r="G297" t="n">
        <v>2.5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19069-2023</t>
        </is>
      </c>
      <c r="B298" s="1" t="n">
        <v>45048</v>
      </c>
      <c r="C298" s="1" t="n">
        <v>45666</v>
      </c>
      <c r="D298" t="inlineStr">
        <is>
          <t>VÄRMLANDS LÄN</t>
        </is>
      </c>
      <c r="E298" t="inlineStr">
        <is>
          <t>FORSHAGA</t>
        </is>
      </c>
      <c r="G298" t="n">
        <v>2.2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19323-2023</t>
        </is>
      </c>
      <c r="B299" s="1" t="n">
        <v>45049</v>
      </c>
      <c r="C299" s="1" t="n">
        <v>45666</v>
      </c>
      <c r="D299" t="inlineStr">
        <is>
          <t>VÄRMLANDS LÄN</t>
        </is>
      </c>
      <c r="E299" t="inlineStr">
        <is>
          <t>FORSHAGA</t>
        </is>
      </c>
      <c r="G299" t="n">
        <v>0.6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19327-2023</t>
        </is>
      </c>
      <c r="B300" s="1" t="n">
        <v>45049</v>
      </c>
      <c r="C300" s="1" t="n">
        <v>45666</v>
      </c>
      <c r="D300" t="inlineStr">
        <is>
          <t>VÄRMLANDS LÄN</t>
        </is>
      </c>
      <c r="E300" t="inlineStr">
        <is>
          <t>FORSHAGA</t>
        </is>
      </c>
      <c r="G300" t="n">
        <v>3.7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20244-2023</t>
        </is>
      </c>
      <c r="B301" s="1" t="n">
        <v>45055</v>
      </c>
      <c r="C301" s="1" t="n">
        <v>45666</v>
      </c>
      <c r="D301" t="inlineStr">
        <is>
          <t>VÄRMLANDS LÄN</t>
        </is>
      </c>
      <c r="E301" t="inlineStr">
        <is>
          <t>FORSHAGA</t>
        </is>
      </c>
      <c r="G301" t="n">
        <v>1.7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20473-2023</t>
        </is>
      </c>
      <c r="B302" s="1" t="n">
        <v>45057</v>
      </c>
      <c r="C302" s="1" t="n">
        <v>45666</v>
      </c>
      <c r="D302" t="inlineStr">
        <is>
          <t>VÄRMLANDS LÄN</t>
        </is>
      </c>
      <c r="E302" t="inlineStr">
        <is>
          <t>FORSHAGA</t>
        </is>
      </c>
      <c r="F302" t="inlineStr">
        <is>
          <t>Bergvik skog väst AB</t>
        </is>
      </c>
      <c r="G302" t="n">
        <v>3.2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21288-2023</t>
        </is>
      </c>
      <c r="B303" s="1" t="n">
        <v>45062</v>
      </c>
      <c r="C303" s="1" t="n">
        <v>45666</v>
      </c>
      <c r="D303" t="inlineStr">
        <is>
          <t>VÄRMLANDS LÄN</t>
        </is>
      </c>
      <c r="E303" t="inlineStr">
        <is>
          <t>FORSHAGA</t>
        </is>
      </c>
      <c r="F303" t="inlineStr">
        <is>
          <t>Bergvik skog väst AB</t>
        </is>
      </c>
      <c r="G303" t="n">
        <v>0.9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21242-2023</t>
        </is>
      </c>
      <c r="B304" s="1" t="n">
        <v>45062</v>
      </c>
      <c r="C304" s="1" t="n">
        <v>45666</v>
      </c>
      <c r="D304" t="inlineStr">
        <is>
          <t>VÄRMLANDS LÄN</t>
        </is>
      </c>
      <c r="E304" t="inlineStr">
        <is>
          <t>FORSHAGA</t>
        </is>
      </c>
      <c r="F304" t="inlineStr">
        <is>
          <t>Bergvik skog väst AB</t>
        </is>
      </c>
      <c r="G304" t="n">
        <v>6.4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21252-2023</t>
        </is>
      </c>
      <c r="B305" s="1" t="n">
        <v>45062</v>
      </c>
      <c r="C305" s="1" t="n">
        <v>45666</v>
      </c>
      <c r="D305" t="inlineStr">
        <is>
          <t>VÄRMLANDS LÄN</t>
        </is>
      </c>
      <c r="E305" t="inlineStr">
        <is>
          <t>FORSHAGA</t>
        </is>
      </c>
      <c r="F305" t="inlineStr">
        <is>
          <t>Bergvik skog väst AB</t>
        </is>
      </c>
      <c r="G305" t="n">
        <v>4.7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21295-2023</t>
        </is>
      </c>
      <c r="B306" s="1" t="n">
        <v>45062</v>
      </c>
      <c r="C306" s="1" t="n">
        <v>45666</v>
      </c>
      <c r="D306" t="inlineStr">
        <is>
          <t>VÄRMLANDS LÄN</t>
        </is>
      </c>
      <c r="E306" t="inlineStr">
        <is>
          <t>FORSHAGA</t>
        </is>
      </c>
      <c r="F306" t="inlineStr">
        <is>
          <t>Bergvik skog väst AB</t>
        </is>
      </c>
      <c r="G306" t="n">
        <v>0.3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22927-2023</t>
        </is>
      </c>
      <c r="B307" s="1" t="n">
        <v>45072</v>
      </c>
      <c r="C307" s="1" t="n">
        <v>45666</v>
      </c>
      <c r="D307" t="inlineStr">
        <is>
          <t>VÄRMLANDS LÄN</t>
        </is>
      </c>
      <c r="E307" t="inlineStr">
        <is>
          <t>FORSHAGA</t>
        </is>
      </c>
      <c r="F307" t="inlineStr">
        <is>
          <t>Kyrkan</t>
        </is>
      </c>
      <c r="G307" t="n">
        <v>6.4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23117-2023</t>
        </is>
      </c>
      <c r="B308" s="1" t="n">
        <v>45075</v>
      </c>
      <c r="C308" s="1" t="n">
        <v>45666</v>
      </c>
      <c r="D308" t="inlineStr">
        <is>
          <t>VÄRMLANDS LÄN</t>
        </is>
      </c>
      <c r="E308" t="inlineStr">
        <is>
          <t>FORSHAGA</t>
        </is>
      </c>
      <c r="F308" t="inlineStr">
        <is>
          <t>Kyrkan</t>
        </is>
      </c>
      <c r="G308" t="n">
        <v>0.6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23685-2023</t>
        </is>
      </c>
      <c r="B309" s="1" t="n">
        <v>45077</v>
      </c>
      <c r="C309" s="1" t="n">
        <v>45666</v>
      </c>
      <c r="D309" t="inlineStr">
        <is>
          <t>VÄRMLANDS LÄN</t>
        </is>
      </c>
      <c r="E309" t="inlineStr">
        <is>
          <t>FORSHAGA</t>
        </is>
      </c>
      <c r="F309" t="inlineStr">
        <is>
          <t>Bergvik skog väst AB</t>
        </is>
      </c>
      <c r="G309" t="n">
        <v>2.6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23719-2023</t>
        </is>
      </c>
      <c r="B310" s="1" t="n">
        <v>45077</v>
      </c>
      <c r="C310" s="1" t="n">
        <v>45666</v>
      </c>
      <c r="D310" t="inlineStr">
        <is>
          <t>VÄRMLANDS LÄN</t>
        </is>
      </c>
      <c r="E310" t="inlineStr">
        <is>
          <t>FORSHAGA</t>
        </is>
      </c>
      <c r="F310" t="inlineStr">
        <is>
          <t>Bergvik skog väst AB</t>
        </is>
      </c>
      <c r="G310" t="n">
        <v>1.9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23826-2023</t>
        </is>
      </c>
      <c r="B311" s="1" t="n">
        <v>45078</v>
      </c>
      <c r="C311" s="1" t="n">
        <v>45666</v>
      </c>
      <c r="D311" t="inlineStr">
        <is>
          <t>VÄRMLANDS LÄN</t>
        </is>
      </c>
      <c r="E311" t="inlineStr">
        <is>
          <t>FORSHAGA</t>
        </is>
      </c>
      <c r="G311" t="n">
        <v>2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24036-2023</t>
        </is>
      </c>
      <c r="B312" s="1" t="n">
        <v>45078</v>
      </c>
      <c r="C312" s="1" t="n">
        <v>45666</v>
      </c>
      <c r="D312" t="inlineStr">
        <is>
          <t>VÄRMLANDS LÄN</t>
        </is>
      </c>
      <c r="E312" t="inlineStr">
        <is>
          <t>FORSHAGA</t>
        </is>
      </c>
      <c r="G312" t="n">
        <v>0.6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25008-2023</t>
        </is>
      </c>
      <c r="B313" s="1" t="n">
        <v>45085</v>
      </c>
      <c r="C313" s="1" t="n">
        <v>45666</v>
      </c>
      <c r="D313" t="inlineStr">
        <is>
          <t>VÄRMLANDS LÄN</t>
        </is>
      </c>
      <c r="E313" t="inlineStr">
        <is>
          <t>FORSHAGA</t>
        </is>
      </c>
      <c r="G313" t="n">
        <v>3.2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26037-2023</t>
        </is>
      </c>
      <c r="B314" s="1" t="n">
        <v>45091</v>
      </c>
      <c r="C314" s="1" t="n">
        <v>45666</v>
      </c>
      <c r="D314" t="inlineStr">
        <is>
          <t>VÄRMLANDS LÄN</t>
        </is>
      </c>
      <c r="E314" t="inlineStr">
        <is>
          <t>FORSHAGA</t>
        </is>
      </c>
      <c r="G314" t="n">
        <v>1.8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26103-2023</t>
        </is>
      </c>
      <c r="B315" s="1" t="n">
        <v>45091</v>
      </c>
      <c r="C315" s="1" t="n">
        <v>45666</v>
      </c>
      <c r="D315" t="inlineStr">
        <is>
          <t>VÄRMLANDS LÄN</t>
        </is>
      </c>
      <c r="E315" t="inlineStr">
        <is>
          <t>FORSHAGA</t>
        </is>
      </c>
      <c r="G315" t="n">
        <v>0.9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26106-2023</t>
        </is>
      </c>
      <c r="B316" s="1" t="n">
        <v>45091</v>
      </c>
      <c r="C316" s="1" t="n">
        <v>45666</v>
      </c>
      <c r="D316" t="inlineStr">
        <is>
          <t>VÄRMLANDS LÄN</t>
        </is>
      </c>
      <c r="E316" t="inlineStr">
        <is>
          <t>FORSHAGA</t>
        </is>
      </c>
      <c r="G316" t="n">
        <v>0.9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28321-2023</t>
        </is>
      </c>
      <c r="B317" s="1" t="n">
        <v>45099</v>
      </c>
      <c r="C317" s="1" t="n">
        <v>45666</v>
      </c>
      <c r="D317" t="inlineStr">
        <is>
          <t>VÄRMLANDS LÄN</t>
        </is>
      </c>
      <c r="E317" t="inlineStr">
        <is>
          <t>FORSHAGA</t>
        </is>
      </c>
      <c r="G317" t="n">
        <v>1.9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29231-2023</t>
        </is>
      </c>
      <c r="B318" s="1" t="n">
        <v>45105</v>
      </c>
      <c r="C318" s="1" t="n">
        <v>45666</v>
      </c>
      <c r="D318" t="inlineStr">
        <is>
          <t>VÄRMLANDS LÄN</t>
        </is>
      </c>
      <c r="E318" t="inlineStr">
        <is>
          <t>FORSHAGA</t>
        </is>
      </c>
      <c r="G318" t="n">
        <v>1.9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29839-2023</t>
        </is>
      </c>
      <c r="B319" s="1" t="n">
        <v>45107</v>
      </c>
      <c r="C319" s="1" t="n">
        <v>45666</v>
      </c>
      <c r="D319" t="inlineStr">
        <is>
          <t>VÄRMLANDS LÄN</t>
        </is>
      </c>
      <c r="E319" t="inlineStr">
        <is>
          <t>FORSHAGA</t>
        </is>
      </c>
      <c r="G319" t="n">
        <v>5.4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31980-2023</t>
        </is>
      </c>
      <c r="B320" s="1" t="n">
        <v>45119</v>
      </c>
      <c r="C320" s="1" t="n">
        <v>45666</v>
      </c>
      <c r="D320" t="inlineStr">
        <is>
          <t>VÄRMLANDS LÄN</t>
        </is>
      </c>
      <c r="E320" t="inlineStr">
        <is>
          <t>FORSHAGA</t>
        </is>
      </c>
      <c r="F320" t="inlineStr">
        <is>
          <t>Bergvik skog väst AB</t>
        </is>
      </c>
      <c r="G320" t="n">
        <v>2.3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32613-2023</t>
        </is>
      </c>
      <c r="B321" s="1" t="n">
        <v>45121</v>
      </c>
      <c r="C321" s="1" t="n">
        <v>45666</v>
      </c>
      <c r="D321" t="inlineStr">
        <is>
          <t>VÄRMLANDS LÄN</t>
        </is>
      </c>
      <c r="E321" t="inlineStr">
        <is>
          <t>FORSHAGA</t>
        </is>
      </c>
      <c r="F321" t="inlineStr">
        <is>
          <t>Kommuner</t>
        </is>
      </c>
      <c r="G321" t="n">
        <v>3.3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32694-2023</t>
        </is>
      </c>
      <c r="B322" s="1" t="n">
        <v>45121</v>
      </c>
      <c r="C322" s="1" t="n">
        <v>45666</v>
      </c>
      <c r="D322" t="inlineStr">
        <is>
          <t>VÄRMLANDS LÄN</t>
        </is>
      </c>
      <c r="E322" t="inlineStr">
        <is>
          <t>FORSHAGA</t>
        </is>
      </c>
      <c r="F322" t="inlineStr">
        <is>
          <t>Kommuner</t>
        </is>
      </c>
      <c r="G322" t="n">
        <v>0.9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32680-2023</t>
        </is>
      </c>
      <c r="B323" s="1" t="n">
        <v>45121</v>
      </c>
      <c r="C323" s="1" t="n">
        <v>45666</v>
      </c>
      <c r="D323" t="inlineStr">
        <is>
          <t>VÄRMLANDS LÄN</t>
        </is>
      </c>
      <c r="E323" t="inlineStr">
        <is>
          <t>FORSHAGA</t>
        </is>
      </c>
      <c r="F323" t="inlineStr">
        <is>
          <t>Kommuner</t>
        </is>
      </c>
      <c r="G323" t="n">
        <v>1.7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32796-2023</t>
        </is>
      </c>
      <c r="B324" s="1" t="n">
        <v>45124</v>
      </c>
      <c r="C324" s="1" t="n">
        <v>45666</v>
      </c>
      <c r="D324" t="inlineStr">
        <is>
          <t>VÄRMLANDS LÄN</t>
        </is>
      </c>
      <c r="E324" t="inlineStr">
        <is>
          <t>FORSHAGA</t>
        </is>
      </c>
      <c r="F324" t="inlineStr">
        <is>
          <t>Kommuner</t>
        </is>
      </c>
      <c r="G324" t="n">
        <v>5.7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32801-2023</t>
        </is>
      </c>
      <c r="B325" s="1" t="n">
        <v>45124</v>
      </c>
      <c r="C325" s="1" t="n">
        <v>45666</v>
      </c>
      <c r="D325" t="inlineStr">
        <is>
          <t>VÄRMLANDS LÄN</t>
        </is>
      </c>
      <c r="E325" t="inlineStr">
        <is>
          <t>FORSHAGA</t>
        </is>
      </c>
      <c r="F325" t="inlineStr">
        <is>
          <t>Kommuner</t>
        </is>
      </c>
      <c r="G325" t="n">
        <v>0.6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32850-2023</t>
        </is>
      </c>
      <c r="B326" s="1" t="n">
        <v>45124</v>
      </c>
      <c r="C326" s="1" t="n">
        <v>45666</v>
      </c>
      <c r="D326" t="inlineStr">
        <is>
          <t>VÄRMLANDS LÄN</t>
        </is>
      </c>
      <c r="E326" t="inlineStr">
        <is>
          <t>FORSHAGA</t>
        </is>
      </c>
      <c r="F326" t="inlineStr">
        <is>
          <t>Kommuner</t>
        </is>
      </c>
      <c r="G326" t="n">
        <v>1.9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32795-2023</t>
        </is>
      </c>
      <c r="B327" s="1" t="n">
        <v>45124</v>
      </c>
      <c r="C327" s="1" t="n">
        <v>45666</v>
      </c>
      <c r="D327" t="inlineStr">
        <is>
          <t>VÄRMLANDS LÄN</t>
        </is>
      </c>
      <c r="E327" t="inlineStr">
        <is>
          <t>FORSHAGA</t>
        </is>
      </c>
      <c r="F327" t="inlineStr">
        <is>
          <t>Kommuner</t>
        </is>
      </c>
      <c r="G327" t="n">
        <v>1.2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32825-2023</t>
        </is>
      </c>
      <c r="B328" s="1" t="n">
        <v>45124</v>
      </c>
      <c r="C328" s="1" t="n">
        <v>45666</v>
      </c>
      <c r="D328" t="inlineStr">
        <is>
          <t>VÄRMLANDS LÄN</t>
        </is>
      </c>
      <c r="E328" t="inlineStr">
        <is>
          <t>FORSHAGA</t>
        </is>
      </c>
      <c r="F328" t="inlineStr">
        <is>
          <t>Kommuner</t>
        </is>
      </c>
      <c r="G328" t="n">
        <v>5.4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32830-2023</t>
        </is>
      </c>
      <c r="B329" s="1" t="n">
        <v>45124</v>
      </c>
      <c r="C329" s="1" t="n">
        <v>45666</v>
      </c>
      <c r="D329" t="inlineStr">
        <is>
          <t>VÄRMLANDS LÄN</t>
        </is>
      </c>
      <c r="E329" t="inlineStr">
        <is>
          <t>FORSHAGA</t>
        </is>
      </c>
      <c r="F329" t="inlineStr">
        <is>
          <t>Kommuner</t>
        </is>
      </c>
      <c r="G329" t="n">
        <v>0.7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32835-2023</t>
        </is>
      </c>
      <c r="B330" s="1" t="n">
        <v>45124</v>
      </c>
      <c r="C330" s="1" t="n">
        <v>45666</v>
      </c>
      <c r="D330" t="inlineStr">
        <is>
          <t>VÄRMLANDS LÄN</t>
        </is>
      </c>
      <c r="E330" t="inlineStr">
        <is>
          <t>FORSHAGA</t>
        </is>
      </c>
      <c r="F330" t="inlineStr">
        <is>
          <t>Kommuner</t>
        </is>
      </c>
      <c r="G330" t="n">
        <v>2.8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32803-2023</t>
        </is>
      </c>
      <c r="B331" s="1" t="n">
        <v>45124</v>
      </c>
      <c r="C331" s="1" t="n">
        <v>45666</v>
      </c>
      <c r="D331" t="inlineStr">
        <is>
          <t>VÄRMLANDS LÄN</t>
        </is>
      </c>
      <c r="E331" t="inlineStr">
        <is>
          <t>FORSHAGA</t>
        </is>
      </c>
      <c r="F331" t="inlineStr">
        <is>
          <t>Kommuner</t>
        </is>
      </c>
      <c r="G331" t="n">
        <v>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32822-2023</t>
        </is>
      </c>
      <c r="B332" s="1" t="n">
        <v>45124</v>
      </c>
      <c r="C332" s="1" t="n">
        <v>45666</v>
      </c>
      <c r="D332" t="inlineStr">
        <is>
          <t>VÄRMLANDS LÄN</t>
        </is>
      </c>
      <c r="E332" t="inlineStr">
        <is>
          <t>FORSHAGA</t>
        </is>
      </c>
      <c r="F332" t="inlineStr">
        <is>
          <t>Kommuner</t>
        </is>
      </c>
      <c r="G332" t="n">
        <v>0.6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32851-2023</t>
        </is>
      </c>
      <c r="B333" s="1" t="n">
        <v>45124</v>
      </c>
      <c r="C333" s="1" t="n">
        <v>45666</v>
      </c>
      <c r="D333" t="inlineStr">
        <is>
          <t>VÄRMLANDS LÄN</t>
        </is>
      </c>
      <c r="E333" t="inlineStr">
        <is>
          <t>FORSHAGA</t>
        </is>
      </c>
      <c r="F333" t="inlineStr">
        <is>
          <t>Kommuner</t>
        </is>
      </c>
      <c r="G333" t="n">
        <v>2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33218-2023</t>
        </is>
      </c>
      <c r="B334" s="1" t="n">
        <v>45127</v>
      </c>
      <c r="C334" s="1" t="n">
        <v>45666</v>
      </c>
      <c r="D334" t="inlineStr">
        <is>
          <t>VÄRMLANDS LÄN</t>
        </is>
      </c>
      <c r="E334" t="inlineStr">
        <is>
          <t>FORSHAGA</t>
        </is>
      </c>
      <c r="F334" t="inlineStr">
        <is>
          <t>Kommuner</t>
        </is>
      </c>
      <c r="G334" t="n">
        <v>1.4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33227-2023</t>
        </is>
      </c>
      <c r="B335" s="1" t="n">
        <v>45127</v>
      </c>
      <c r="C335" s="1" t="n">
        <v>45666</v>
      </c>
      <c r="D335" t="inlineStr">
        <is>
          <t>VÄRMLANDS LÄN</t>
        </is>
      </c>
      <c r="E335" t="inlineStr">
        <is>
          <t>FORSHAGA</t>
        </is>
      </c>
      <c r="F335" t="inlineStr">
        <is>
          <t>Kommuner</t>
        </is>
      </c>
      <c r="G335" t="n">
        <v>2.9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33219-2023</t>
        </is>
      </c>
      <c r="B336" s="1" t="n">
        <v>45127</v>
      </c>
      <c r="C336" s="1" t="n">
        <v>45666</v>
      </c>
      <c r="D336" t="inlineStr">
        <is>
          <t>VÄRMLANDS LÄN</t>
        </is>
      </c>
      <c r="E336" t="inlineStr">
        <is>
          <t>FORSHAGA</t>
        </is>
      </c>
      <c r="F336" t="inlineStr">
        <is>
          <t>Kommuner</t>
        </is>
      </c>
      <c r="G336" t="n">
        <v>1.2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33224-2023</t>
        </is>
      </c>
      <c r="B337" s="1" t="n">
        <v>45127</v>
      </c>
      <c r="C337" s="1" t="n">
        <v>45666</v>
      </c>
      <c r="D337" t="inlineStr">
        <is>
          <t>VÄRMLANDS LÄN</t>
        </is>
      </c>
      <c r="E337" t="inlineStr">
        <is>
          <t>FORSHAGA</t>
        </is>
      </c>
      <c r="F337" t="inlineStr">
        <is>
          <t>Kommuner</t>
        </is>
      </c>
      <c r="G337" t="n">
        <v>1.3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33229-2023</t>
        </is>
      </c>
      <c r="B338" s="1" t="n">
        <v>45127</v>
      </c>
      <c r="C338" s="1" t="n">
        <v>45666</v>
      </c>
      <c r="D338" t="inlineStr">
        <is>
          <t>VÄRMLANDS LÄN</t>
        </is>
      </c>
      <c r="E338" t="inlineStr">
        <is>
          <t>FORSHAGA</t>
        </is>
      </c>
      <c r="F338" t="inlineStr">
        <is>
          <t>Kommuner</t>
        </is>
      </c>
      <c r="G338" t="n">
        <v>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33222-2023</t>
        </is>
      </c>
      <c r="B339" s="1" t="n">
        <v>45127</v>
      </c>
      <c r="C339" s="1" t="n">
        <v>45666</v>
      </c>
      <c r="D339" t="inlineStr">
        <is>
          <t>VÄRMLANDS LÄN</t>
        </is>
      </c>
      <c r="E339" t="inlineStr">
        <is>
          <t>FORSHAGA</t>
        </is>
      </c>
      <c r="F339" t="inlineStr">
        <is>
          <t>Kommuner</t>
        </is>
      </c>
      <c r="G339" t="n">
        <v>5.9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34633-2023</t>
        </is>
      </c>
      <c r="B340" s="1" t="n">
        <v>45140</v>
      </c>
      <c r="C340" s="1" t="n">
        <v>45666</v>
      </c>
      <c r="D340" t="inlineStr">
        <is>
          <t>VÄRMLANDS LÄN</t>
        </is>
      </c>
      <c r="E340" t="inlineStr">
        <is>
          <t>FORSHAGA</t>
        </is>
      </c>
      <c r="F340" t="inlineStr">
        <is>
          <t>Bergvik skog väst AB</t>
        </is>
      </c>
      <c r="G340" t="n">
        <v>5.9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35162-2023</t>
        </is>
      </c>
      <c r="B341" s="1" t="n">
        <v>45145</v>
      </c>
      <c r="C341" s="1" t="n">
        <v>45666</v>
      </c>
      <c r="D341" t="inlineStr">
        <is>
          <t>VÄRMLANDS LÄN</t>
        </is>
      </c>
      <c r="E341" t="inlineStr">
        <is>
          <t>FORSHAGA</t>
        </is>
      </c>
      <c r="F341" t="inlineStr">
        <is>
          <t>Bergvik skog väst AB</t>
        </is>
      </c>
      <c r="G341" t="n">
        <v>1.9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35195-2023</t>
        </is>
      </c>
      <c r="B342" s="1" t="n">
        <v>45145</v>
      </c>
      <c r="C342" s="1" t="n">
        <v>45666</v>
      </c>
      <c r="D342" t="inlineStr">
        <is>
          <t>VÄRMLANDS LÄN</t>
        </is>
      </c>
      <c r="E342" t="inlineStr">
        <is>
          <t>FORSHAGA</t>
        </is>
      </c>
      <c r="F342" t="inlineStr">
        <is>
          <t>Bergvik skog väst AB</t>
        </is>
      </c>
      <c r="G342" t="n">
        <v>2.6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35459-2023</t>
        </is>
      </c>
      <c r="B343" s="1" t="n">
        <v>45146</v>
      </c>
      <c r="C343" s="1" t="n">
        <v>45666</v>
      </c>
      <c r="D343" t="inlineStr">
        <is>
          <t>VÄRMLANDS LÄN</t>
        </is>
      </c>
      <c r="E343" t="inlineStr">
        <is>
          <t>FORSHAGA</t>
        </is>
      </c>
      <c r="F343" t="inlineStr">
        <is>
          <t>Kommuner</t>
        </is>
      </c>
      <c r="G343" t="n">
        <v>1.5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35466-2023</t>
        </is>
      </c>
      <c r="B344" s="1" t="n">
        <v>45146</v>
      </c>
      <c r="C344" s="1" t="n">
        <v>45666</v>
      </c>
      <c r="D344" t="inlineStr">
        <is>
          <t>VÄRMLANDS LÄN</t>
        </is>
      </c>
      <c r="E344" t="inlineStr">
        <is>
          <t>FORSHAGA</t>
        </is>
      </c>
      <c r="F344" t="inlineStr">
        <is>
          <t>Kommuner</t>
        </is>
      </c>
      <c r="G344" t="n">
        <v>3.6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35436-2023</t>
        </is>
      </c>
      <c r="B345" s="1" t="n">
        <v>45146</v>
      </c>
      <c r="C345" s="1" t="n">
        <v>45666</v>
      </c>
      <c r="D345" t="inlineStr">
        <is>
          <t>VÄRMLANDS LÄN</t>
        </is>
      </c>
      <c r="E345" t="inlineStr">
        <is>
          <t>FORSHAGA</t>
        </is>
      </c>
      <c r="F345" t="inlineStr">
        <is>
          <t>Bergvik skog väst AB</t>
        </is>
      </c>
      <c r="G345" t="n">
        <v>1.3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35465-2023</t>
        </is>
      </c>
      <c r="B346" s="1" t="n">
        <v>45146</v>
      </c>
      <c r="C346" s="1" t="n">
        <v>45666</v>
      </c>
      <c r="D346" t="inlineStr">
        <is>
          <t>VÄRMLANDS LÄN</t>
        </is>
      </c>
      <c r="E346" t="inlineStr">
        <is>
          <t>FORSHAGA</t>
        </is>
      </c>
      <c r="F346" t="inlineStr">
        <is>
          <t>Kommuner</t>
        </is>
      </c>
      <c r="G346" t="n">
        <v>2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35573-2023</t>
        </is>
      </c>
      <c r="B347" s="1" t="n">
        <v>45147</v>
      </c>
      <c r="C347" s="1" t="n">
        <v>45666</v>
      </c>
      <c r="D347" t="inlineStr">
        <is>
          <t>VÄRMLANDS LÄN</t>
        </is>
      </c>
      <c r="E347" t="inlineStr">
        <is>
          <t>FORSHAGA</t>
        </is>
      </c>
      <c r="F347" t="inlineStr">
        <is>
          <t>Kommuner</t>
        </is>
      </c>
      <c r="G347" t="n">
        <v>3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35572-2023</t>
        </is>
      </c>
      <c r="B348" s="1" t="n">
        <v>45147</v>
      </c>
      <c r="C348" s="1" t="n">
        <v>45666</v>
      </c>
      <c r="D348" t="inlineStr">
        <is>
          <t>VÄRMLANDS LÄN</t>
        </is>
      </c>
      <c r="E348" t="inlineStr">
        <is>
          <t>FORSHAGA</t>
        </is>
      </c>
      <c r="F348" t="inlineStr">
        <is>
          <t>Kommuner</t>
        </is>
      </c>
      <c r="G348" t="n">
        <v>2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35834-2023</t>
        </is>
      </c>
      <c r="B349" s="1" t="n">
        <v>45148</v>
      </c>
      <c r="C349" s="1" t="n">
        <v>45666</v>
      </c>
      <c r="D349" t="inlineStr">
        <is>
          <t>VÄRMLANDS LÄN</t>
        </is>
      </c>
      <c r="E349" t="inlineStr">
        <is>
          <t>FORSHAGA</t>
        </is>
      </c>
      <c r="F349" t="inlineStr">
        <is>
          <t>Kommuner</t>
        </is>
      </c>
      <c r="G349" t="n">
        <v>1.2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35831-2023</t>
        </is>
      </c>
      <c r="B350" s="1" t="n">
        <v>45148</v>
      </c>
      <c r="C350" s="1" t="n">
        <v>45666</v>
      </c>
      <c r="D350" t="inlineStr">
        <is>
          <t>VÄRMLANDS LÄN</t>
        </is>
      </c>
      <c r="E350" t="inlineStr">
        <is>
          <t>FORSHAGA</t>
        </is>
      </c>
      <c r="F350" t="inlineStr">
        <is>
          <t>Kommuner</t>
        </is>
      </c>
      <c r="G350" t="n">
        <v>2.2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35850-2023</t>
        </is>
      </c>
      <c r="B351" s="1" t="n">
        <v>45148</v>
      </c>
      <c r="C351" s="1" t="n">
        <v>45666</v>
      </c>
      <c r="D351" t="inlineStr">
        <is>
          <t>VÄRMLANDS LÄN</t>
        </is>
      </c>
      <c r="E351" t="inlineStr">
        <is>
          <t>FORSHAGA</t>
        </is>
      </c>
      <c r="F351" t="inlineStr">
        <is>
          <t>Kommuner</t>
        </is>
      </c>
      <c r="G351" t="n">
        <v>0.3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35855-2023</t>
        </is>
      </c>
      <c r="B352" s="1" t="n">
        <v>45148</v>
      </c>
      <c r="C352" s="1" t="n">
        <v>45666</v>
      </c>
      <c r="D352" t="inlineStr">
        <is>
          <t>VÄRMLANDS LÄN</t>
        </is>
      </c>
      <c r="E352" t="inlineStr">
        <is>
          <t>FORSHAGA</t>
        </is>
      </c>
      <c r="F352" t="inlineStr">
        <is>
          <t>Kommuner</t>
        </is>
      </c>
      <c r="G352" t="n">
        <v>0.2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35860-2023</t>
        </is>
      </c>
      <c r="B353" s="1" t="n">
        <v>45148</v>
      </c>
      <c r="C353" s="1" t="n">
        <v>45666</v>
      </c>
      <c r="D353" t="inlineStr">
        <is>
          <t>VÄRMLANDS LÄN</t>
        </is>
      </c>
      <c r="E353" t="inlineStr">
        <is>
          <t>FORSHAGA</t>
        </is>
      </c>
      <c r="F353" t="inlineStr">
        <is>
          <t>Kommuner</t>
        </is>
      </c>
      <c r="G353" t="n">
        <v>0.5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35851-2023</t>
        </is>
      </c>
      <c r="B354" s="1" t="n">
        <v>45148</v>
      </c>
      <c r="C354" s="1" t="n">
        <v>45666</v>
      </c>
      <c r="D354" t="inlineStr">
        <is>
          <t>VÄRMLANDS LÄN</t>
        </is>
      </c>
      <c r="E354" t="inlineStr">
        <is>
          <t>FORSHAGA</t>
        </is>
      </c>
      <c r="F354" t="inlineStr">
        <is>
          <t>Kommuner</t>
        </is>
      </c>
      <c r="G354" t="n">
        <v>0.8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35863-2023</t>
        </is>
      </c>
      <c r="B355" s="1" t="n">
        <v>45148</v>
      </c>
      <c r="C355" s="1" t="n">
        <v>45666</v>
      </c>
      <c r="D355" t="inlineStr">
        <is>
          <t>VÄRMLANDS LÄN</t>
        </is>
      </c>
      <c r="E355" t="inlineStr">
        <is>
          <t>FORSHAGA</t>
        </is>
      </c>
      <c r="F355" t="inlineStr">
        <is>
          <t>Kommuner</t>
        </is>
      </c>
      <c r="G355" t="n">
        <v>1.3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36067-2023</t>
        </is>
      </c>
      <c r="B356" s="1" t="n">
        <v>45149</v>
      </c>
      <c r="C356" s="1" t="n">
        <v>45666</v>
      </c>
      <c r="D356" t="inlineStr">
        <is>
          <t>VÄRMLANDS LÄN</t>
        </is>
      </c>
      <c r="E356" t="inlineStr">
        <is>
          <t>FORSHAGA</t>
        </is>
      </c>
      <c r="F356" t="inlineStr">
        <is>
          <t>Bergvik skog väst AB</t>
        </is>
      </c>
      <c r="G356" t="n">
        <v>2.5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38575-2023</t>
        </is>
      </c>
      <c r="B357" s="1" t="n">
        <v>45162</v>
      </c>
      <c r="C357" s="1" t="n">
        <v>45666</v>
      </c>
      <c r="D357" t="inlineStr">
        <is>
          <t>VÄRMLANDS LÄN</t>
        </is>
      </c>
      <c r="E357" t="inlineStr">
        <is>
          <t>FORSHAGA</t>
        </is>
      </c>
      <c r="F357" t="inlineStr">
        <is>
          <t>Kommuner</t>
        </is>
      </c>
      <c r="G357" t="n">
        <v>4.9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39203-2023</t>
        </is>
      </c>
      <c r="B358" s="1" t="n">
        <v>45166</v>
      </c>
      <c r="C358" s="1" t="n">
        <v>45666</v>
      </c>
      <c r="D358" t="inlineStr">
        <is>
          <t>VÄRMLANDS LÄN</t>
        </is>
      </c>
      <c r="E358" t="inlineStr">
        <is>
          <t>FORSHAGA</t>
        </is>
      </c>
      <c r="F358" t="inlineStr">
        <is>
          <t>Kommuner</t>
        </is>
      </c>
      <c r="G358" t="n">
        <v>3.3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39213-2023</t>
        </is>
      </c>
      <c r="B359" s="1" t="n">
        <v>45166</v>
      </c>
      <c r="C359" s="1" t="n">
        <v>45666</v>
      </c>
      <c r="D359" t="inlineStr">
        <is>
          <t>VÄRMLANDS LÄN</t>
        </is>
      </c>
      <c r="E359" t="inlineStr">
        <is>
          <t>FORSHAGA</t>
        </is>
      </c>
      <c r="F359" t="inlineStr">
        <is>
          <t>Kommuner</t>
        </is>
      </c>
      <c r="G359" t="n">
        <v>2.4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39201-2023</t>
        </is>
      </c>
      <c r="B360" s="1" t="n">
        <v>45166</v>
      </c>
      <c r="C360" s="1" t="n">
        <v>45666</v>
      </c>
      <c r="D360" t="inlineStr">
        <is>
          <t>VÄRMLANDS LÄN</t>
        </is>
      </c>
      <c r="E360" t="inlineStr">
        <is>
          <t>FORSHAGA</t>
        </is>
      </c>
      <c r="F360" t="inlineStr">
        <is>
          <t>Kommuner</t>
        </is>
      </c>
      <c r="G360" t="n">
        <v>3.2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42110-2023</t>
        </is>
      </c>
      <c r="B361" s="1" t="n">
        <v>45177</v>
      </c>
      <c r="C361" s="1" t="n">
        <v>45666</v>
      </c>
      <c r="D361" t="inlineStr">
        <is>
          <t>VÄRMLANDS LÄN</t>
        </is>
      </c>
      <c r="E361" t="inlineStr">
        <is>
          <t>FORSHAGA</t>
        </is>
      </c>
      <c r="G361" t="n">
        <v>1.6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42741-2023</t>
        </is>
      </c>
      <c r="B362" s="1" t="n">
        <v>45181</v>
      </c>
      <c r="C362" s="1" t="n">
        <v>45666</v>
      </c>
      <c r="D362" t="inlineStr">
        <is>
          <t>VÄRMLANDS LÄN</t>
        </is>
      </c>
      <c r="E362" t="inlineStr">
        <is>
          <t>FORSHAGA</t>
        </is>
      </c>
      <c r="G362" t="n">
        <v>0.7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44167-2023</t>
        </is>
      </c>
      <c r="B363" s="1" t="n">
        <v>45188</v>
      </c>
      <c r="C363" s="1" t="n">
        <v>45666</v>
      </c>
      <c r="D363" t="inlineStr">
        <is>
          <t>VÄRMLANDS LÄN</t>
        </is>
      </c>
      <c r="E363" t="inlineStr">
        <is>
          <t>FORSHAGA</t>
        </is>
      </c>
      <c r="F363" t="inlineStr">
        <is>
          <t>Bergvik skog väst AB</t>
        </is>
      </c>
      <c r="G363" t="n">
        <v>2.2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44281-2023</t>
        </is>
      </c>
      <c r="B364" s="1" t="n">
        <v>45188</v>
      </c>
      <c r="C364" s="1" t="n">
        <v>45666</v>
      </c>
      <c r="D364" t="inlineStr">
        <is>
          <t>VÄRMLANDS LÄN</t>
        </is>
      </c>
      <c r="E364" t="inlineStr">
        <is>
          <t>FORSHAGA</t>
        </is>
      </c>
      <c r="F364" t="inlineStr">
        <is>
          <t>Bergvik skog väst AB</t>
        </is>
      </c>
      <c r="G364" t="n">
        <v>2.1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45438-2023</t>
        </is>
      </c>
      <c r="B365" s="1" t="n">
        <v>45188</v>
      </c>
      <c r="C365" s="1" t="n">
        <v>45666</v>
      </c>
      <c r="D365" t="inlineStr">
        <is>
          <t>VÄRMLANDS LÄN</t>
        </is>
      </c>
      <c r="E365" t="inlineStr">
        <is>
          <t>FORSHAGA</t>
        </is>
      </c>
      <c r="G365" t="n">
        <v>2.6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46530-2023</t>
        </is>
      </c>
      <c r="B366" s="1" t="n">
        <v>45197</v>
      </c>
      <c r="C366" s="1" t="n">
        <v>45666</v>
      </c>
      <c r="D366" t="inlineStr">
        <is>
          <t>VÄRMLANDS LÄN</t>
        </is>
      </c>
      <c r="E366" t="inlineStr">
        <is>
          <t>FORSHAGA</t>
        </is>
      </c>
      <c r="F366" t="inlineStr">
        <is>
          <t>Bergvik skog väst AB</t>
        </is>
      </c>
      <c r="G366" t="n">
        <v>4.1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50145-2023</t>
        </is>
      </c>
      <c r="B367" s="1" t="n">
        <v>45215</v>
      </c>
      <c r="C367" s="1" t="n">
        <v>45666</v>
      </c>
      <c r="D367" t="inlineStr">
        <is>
          <t>VÄRMLANDS LÄN</t>
        </is>
      </c>
      <c r="E367" t="inlineStr">
        <is>
          <t>FORSHAGA</t>
        </is>
      </c>
      <c r="F367" t="inlineStr">
        <is>
          <t>Bergvik skog väst AB</t>
        </is>
      </c>
      <c r="G367" t="n">
        <v>6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50817-2023</t>
        </is>
      </c>
      <c r="B368" s="1" t="n">
        <v>45217</v>
      </c>
      <c r="C368" s="1" t="n">
        <v>45666</v>
      </c>
      <c r="D368" t="inlineStr">
        <is>
          <t>VÄRMLANDS LÄN</t>
        </is>
      </c>
      <c r="E368" t="inlineStr">
        <is>
          <t>FORSHAGA</t>
        </is>
      </c>
      <c r="F368" t="inlineStr">
        <is>
          <t>Bergvik skog väst AB</t>
        </is>
      </c>
      <c r="G368" t="n">
        <v>1.8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50635-2023</t>
        </is>
      </c>
      <c r="B369" s="1" t="n">
        <v>45217</v>
      </c>
      <c r="C369" s="1" t="n">
        <v>45666</v>
      </c>
      <c r="D369" t="inlineStr">
        <is>
          <t>VÄRMLANDS LÄN</t>
        </is>
      </c>
      <c r="E369" t="inlineStr">
        <is>
          <t>FORSHAGA</t>
        </is>
      </c>
      <c r="G369" t="n">
        <v>1.6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50815-2023</t>
        </is>
      </c>
      <c r="B370" s="1" t="n">
        <v>45217</v>
      </c>
      <c r="C370" s="1" t="n">
        <v>45666</v>
      </c>
      <c r="D370" t="inlineStr">
        <is>
          <t>VÄRMLANDS LÄN</t>
        </is>
      </c>
      <c r="E370" t="inlineStr">
        <is>
          <t>FORSHAGA</t>
        </is>
      </c>
      <c r="F370" t="inlineStr">
        <is>
          <t>Bergvik skog väst AB</t>
        </is>
      </c>
      <c r="G370" t="n">
        <v>2.7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55137-2023</t>
        </is>
      </c>
      <c r="B371" s="1" t="n">
        <v>45237</v>
      </c>
      <c r="C371" s="1" t="n">
        <v>45666</v>
      </c>
      <c r="D371" t="inlineStr">
        <is>
          <t>VÄRMLANDS LÄN</t>
        </is>
      </c>
      <c r="E371" t="inlineStr">
        <is>
          <t>FORSHAGA</t>
        </is>
      </c>
      <c r="G371" t="n">
        <v>1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55249-2023</t>
        </is>
      </c>
      <c r="B372" s="1" t="n">
        <v>45237</v>
      </c>
      <c r="C372" s="1" t="n">
        <v>45666</v>
      </c>
      <c r="D372" t="inlineStr">
        <is>
          <t>VÄRMLANDS LÄN</t>
        </is>
      </c>
      <c r="E372" t="inlineStr">
        <is>
          <t>FORSHAGA</t>
        </is>
      </c>
      <c r="G372" t="n">
        <v>3.9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55742-2023</t>
        </is>
      </c>
      <c r="B373" s="1" t="n">
        <v>45239</v>
      </c>
      <c r="C373" s="1" t="n">
        <v>45666</v>
      </c>
      <c r="D373" t="inlineStr">
        <is>
          <t>VÄRMLANDS LÄN</t>
        </is>
      </c>
      <c r="E373" t="inlineStr">
        <is>
          <t>FORSHAGA</t>
        </is>
      </c>
      <c r="F373" t="inlineStr">
        <is>
          <t>Bergvik skog väst AB</t>
        </is>
      </c>
      <c r="G373" t="n">
        <v>1.2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56280-2023</t>
        </is>
      </c>
      <c r="B374" s="1" t="n">
        <v>45241</v>
      </c>
      <c r="C374" s="1" t="n">
        <v>45666</v>
      </c>
      <c r="D374" t="inlineStr">
        <is>
          <t>VÄRMLANDS LÄN</t>
        </is>
      </c>
      <c r="E374" t="inlineStr">
        <is>
          <t>FORSHAGA</t>
        </is>
      </c>
      <c r="G374" t="n">
        <v>2.9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58688-2023</t>
        </is>
      </c>
      <c r="B375" s="1" t="n">
        <v>45251</v>
      </c>
      <c r="C375" s="1" t="n">
        <v>45666</v>
      </c>
      <c r="D375" t="inlineStr">
        <is>
          <t>VÄRMLANDS LÄN</t>
        </is>
      </c>
      <c r="E375" t="inlineStr">
        <is>
          <t>FORSHAGA</t>
        </is>
      </c>
      <c r="G375" t="n">
        <v>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58697-2023</t>
        </is>
      </c>
      <c r="B376" s="1" t="n">
        <v>45251</v>
      </c>
      <c r="C376" s="1" t="n">
        <v>45666</v>
      </c>
      <c r="D376" t="inlineStr">
        <is>
          <t>VÄRMLANDS LÄN</t>
        </is>
      </c>
      <c r="E376" t="inlineStr">
        <is>
          <t>FORSHAGA</t>
        </is>
      </c>
      <c r="G376" t="n">
        <v>4.5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58924-2023</t>
        </is>
      </c>
      <c r="B377" s="1" t="n">
        <v>45252</v>
      </c>
      <c r="C377" s="1" t="n">
        <v>45666</v>
      </c>
      <c r="D377" t="inlineStr">
        <is>
          <t>VÄRMLANDS LÄN</t>
        </is>
      </c>
      <c r="E377" t="inlineStr">
        <is>
          <t>FORSHAGA</t>
        </is>
      </c>
      <c r="F377" t="inlineStr">
        <is>
          <t>Bergvik skog väst AB</t>
        </is>
      </c>
      <c r="G377" t="n">
        <v>4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58944-2023</t>
        </is>
      </c>
      <c r="B378" s="1" t="n">
        <v>45252</v>
      </c>
      <c r="C378" s="1" t="n">
        <v>45666</v>
      </c>
      <c r="D378" t="inlineStr">
        <is>
          <t>VÄRMLANDS LÄN</t>
        </is>
      </c>
      <c r="E378" t="inlineStr">
        <is>
          <t>FORSHAGA</t>
        </is>
      </c>
      <c r="F378" t="inlineStr">
        <is>
          <t>Bergvik skog väst AB</t>
        </is>
      </c>
      <c r="G378" t="n">
        <v>2.4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60170-2023</t>
        </is>
      </c>
      <c r="B379" s="1" t="n">
        <v>45258</v>
      </c>
      <c r="C379" s="1" t="n">
        <v>45666</v>
      </c>
      <c r="D379" t="inlineStr">
        <is>
          <t>VÄRMLANDS LÄN</t>
        </is>
      </c>
      <c r="E379" t="inlineStr">
        <is>
          <t>FORSHAGA</t>
        </is>
      </c>
      <c r="F379" t="inlineStr">
        <is>
          <t>Bergvik skog väst AB</t>
        </is>
      </c>
      <c r="G379" t="n">
        <v>3.2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62802-2023</t>
        </is>
      </c>
      <c r="B380" s="1" t="n">
        <v>45271</v>
      </c>
      <c r="C380" s="1" t="n">
        <v>45666</v>
      </c>
      <c r="D380" t="inlineStr">
        <is>
          <t>VÄRMLANDS LÄN</t>
        </is>
      </c>
      <c r="E380" t="inlineStr">
        <is>
          <t>FORSHAGA</t>
        </is>
      </c>
      <c r="G380" t="n">
        <v>1.5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62922-2023</t>
        </is>
      </c>
      <c r="B381" s="1" t="n">
        <v>45272</v>
      </c>
      <c r="C381" s="1" t="n">
        <v>45666</v>
      </c>
      <c r="D381" t="inlineStr">
        <is>
          <t>VÄRMLANDS LÄN</t>
        </is>
      </c>
      <c r="E381" t="inlineStr">
        <is>
          <t>FORSHAGA</t>
        </is>
      </c>
      <c r="G381" t="n">
        <v>2.1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63311-2023</t>
        </is>
      </c>
      <c r="B382" s="1" t="n">
        <v>45274</v>
      </c>
      <c r="C382" s="1" t="n">
        <v>45666</v>
      </c>
      <c r="D382" t="inlineStr">
        <is>
          <t>VÄRMLANDS LÄN</t>
        </is>
      </c>
      <c r="E382" t="inlineStr">
        <is>
          <t>FORSHAGA</t>
        </is>
      </c>
      <c r="G382" t="n">
        <v>2.7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63315-2023</t>
        </is>
      </c>
      <c r="B383" s="1" t="n">
        <v>45274</v>
      </c>
      <c r="C383" s="1" t="n">
        <v>45666</v>
      </c>
      <c r="D383" t="inlineStr">
        <is>
          <t>VÄRMLANDS LÄN</t>
        </is>
      </c>
      <c r="E383" t="inlineStr">
        <is>
          <t>FORSHAGA</t>
        </is>
      </c>
      <c r="G383" t="n">
        <v>6.3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63318-2023</t>
        </is>
      </c>
      <c r="B384" s="1" t="n">
        <v>45274</v>
      </c>
      <c r="C384" s="1" t="n">
        <v>45666</v>
      </c>
      <c r="D384" t="inlineStr">
        <is>
          <t>VÄRMLANDS LÄN</t>
        </is>
      </c>
      <c r="E384" t="inlineStr">
        <is>
          <t>FORSHAGA</t>
        </is>
      </c>
      <c r="G384" t="n">
        <v>5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63317-2023</t>
        </is>
      </c>
      <c r="B385" s="1" t="n">
        <v>45274</v>
      </c>
      <c r="C385" s="1" t="n">
        <v>45666</v>
      </c>
      <c r="D385" t="inlineStr">
        <is>
          <t>VÄRMLANDS LÄN</t>
        </is>
      </c>
      <c r="E385" t="inlineStr">
        <is>
          <t>FORSHAGA</t>
        </is>
      </c>
      <c r="F385" t="inlineStr">
        <is>
          <t>Bergvik skog väst AB</t>
        </is>
      </c>
      <c r="G385" t="n">
        <v>2.3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63321-2023</t>
        </is>
      </c>
      <c r="B386" s="1" t="n">
        <v>45274</v>
      </c>
      <c r="C386" s="1" t="n">
        <v>45666</v>
      </c>
      <c r="D386" t="inlineStr">
        <is>
          <t>VÄRMLANDS LÄN</t>
        </is>
      </c>
      <c r="E386" t="inlineStr">
        <is>
          <t>FORSHAGA</t>
        </is>
      </c>
      <c r="G386" t="n">
        <v>1.3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63799-2023</t>
        </is>
      </c>
      <c r="B387" s="1" t="n">
        <v>45278</v>
      </c>
      <c r="C387" s="1" t="n">
        <v>45666</v>
      </c>
      <c r="D387" t="inlineStr">
        <is>
          <t>VÄRMLANDS LÄN</t>
        </is>
      </c>
      <c r="E387" t="inlineStr">
        <is>
          <t>FORSHAGA</t>
        </is>
      </c>
      <c r="F387" t="inlineStr">
        <is>
          <t>Bergvik skog väst AB</t>
        </is>
      </c>
      <c r="G387" t="n">
        <v>13.6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63975-2023</t>
        </is>
      </c>
      <c r="B388" s="1" t="n">
        <v>45278</v>
      </c>
      <c r="C388" s="1" t="n">
        <v>45666</v>
      </c>
      <c r="D388" t="inlineStr">
        <is>
          <t>VÄRMLANDS LÄN</t>
        </is>
      </c>
      <c r="E388" t="inlineStr">
        <is>
          <t>FORSHAGA</t>
        </is>
      </c>
      <c r="F388" t="inlineStr">
        <is>
          <t>Bergvik skog väst AB</t>
        </is>
      </c>
      <c r="G388" t="n">
        <v>2.6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64121-2023</t>
        </is>
      </c>
      <c r="B389" s="1" t="n">
        <v>45279</v>
      </c>
      <c r="C389" s="1" t="n">
        <v>45666</v>
      </c>
      <c r="D389" t="inlineStr">
        <is>
          <t>VÄRMLANDS LÄN</t>
        </is>
      </c>
      <c r="E389" t="inlineStr">
        <is>
          <t>FORSHAGA</t>
        </is>
      </c>
      <c r="G389" t="n">
        <v>0.1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65062-2023</t>
        </is>
      </c>
      <c r="B390" s="1" t="n">
        <v>45287</v>
      </c>
      <c r="C390" s="1" t="n">
        <v>45666</v>
      </c>
      <c r="D390" t="inlineStr">
        <is>
          <t>VÄRMLANDS LÄN</t>
        </is>
      </c>
      <c r="E390" t="inlineStr">
        <is>
          <t>FORSHAGA</t>
        </is>
      </c>
      <c r="F390" t="inlineStr">
        <is>
          <t>Bergvik skog väst AB</t>
        </is>
      </c>
      <c r="G390" t="n">
        <v>11.3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2686-2024</t>
        </is>
      </c>
      <c r="B391" s="1" t="n">
        <v>45314</v>
      </c>
      <c r="C391" s="1" t="n">
        <v>45666</v>
      </c>
      <c r="D391" t="inlineStr">
        <is>
          <t>VÄRMLANDS LÄN</t>
        </is>
      </c>
      <c r="E391" t="inlineStr">
        <is>
          <t>FORSHAGA</t>
        </is>
      </c>
      <c r="G391" t="n">
        <v>2.3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3576-2024</t>
        </is>
      </c>
      <c r="B392" s="1" t="n">
        <v>45320</v>
      </c>
      <c r="C392" s="1" t="n">
        <v>45666</v>
      </c>
      <c r="D392" t="inlineStr">
        <is>
          <t>VÄRMLANDS LÄN</t>
        </is>
      </c>
      <c r="E392" t="inlineStr">
        <is>
          <t>FORSHAGA</t>
        </is>
      </c>
      <c r="G392" t="n">
        <v>3.6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6145-2024</t>
        </is>
      </c>
      <c r="B393" s="1" t="n">
        <v>45337</v>
      </c>
      <c r="C393" s="1" t="n">
        <v>45666</v>
      </c>
      <c r="D393" t="inlineStr">
        <is>
          <t>VÄRMLANDS LÄN</t>
        </is>
      </c>
      <c r="E393" t="inlineStr">
        <is>
          <t>FORSHAGA</t>
        </is>
      </c>
      <c r="G393" t="n">
        <v>0.9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6118-2024</t>
        </is>
      </c>
      <c r="B394" s="1" t="n">
        <v>45337</v>
      </c>
      <c r="C394" s="1" t="n">
        <v>45666</v>
      </c>
      <c r="D394" t="inlineStr">
        <is>
          <t>VÄRMLANDS LÄN</t>
        </is>
      </c>
      <c r="E394" t="inlineStr">
        <is>
          <t>FORSHAGA</t>
        </is>
      </c>
      <c r="G394" t="n">
        <v>4.4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8952-2024</t>
        </is>
      </c>
      <c r="B395" s="1" t="n">
        <v>45355</v>
      </c>
      <c r="C395" s="1" t="n">
        <v>45666</v>
      </c>
      <c r="D395" t="inlineStr">
        <is>
          <t>VÄRMLANDS LÄN</t>
        </is>
      </c>
      <c r="E395" t="inlineStr">
        <is>
          <t>FORSHAGA</t>
        </is>
      </c>
      <c r="G395" t="n">
        <v>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9429-2024</t>
        </is>
      </c>
      <c r="B396" s="1" t="n">
        <v>45359</v>
      </c>
      <c r="C396" s="1" t="n">
        <v>45666</v>
      </c>
      <c r="D396" t="inlineStr">
        <is>
          <t>VÄRMLANDS LÄN</t>
        </is>
      </c>
      <c r="E396" t="inlineStr">
        <is>
          <t>FORSHAGA</t>
        </is>
      </c>
      <c r="F396" t="inlineStr">
        <is>
          <t>Bergvik skog väst AB</t>
        </is>
      </c>
      <c r="G396" t="n">
        <v>4.4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9524-2024</t>
        </is>
      </c>
      <c r="B397" s="1" t="n">
        <v>45359</v>
      </c>
      <c r="C397" s="1" t="n">
        <v>45666</v>
      </c>
      <c r="D397" t="inlineStr">
        <is>
          <t>VÄRMLANDS LÄN</t>
        </is>
      </c>
      <c r="E397" t="inlineStr">
        <is>
          <t>FORSHAGA</t>
        </is>
      </c>
      <c r="F397" t="inlineStr">
        <is>
          <t>Kommuner</t>
        </is>
      </c>
      <c r="G397" t="n">
        <v>1.1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10348-2024</t>
        </is>
      </c>
      <c r="B398" s="1" t="n">
        <v>45365</v>
      </c>
      <c r="C398" s="1" t="n">
        <v>45666</v>
      </c>
      <c r="D398" t="inlineStr">
        <is>
          <t>VÄRMLANDS LÄN</t>
        </is>
      </c>
      <c r="E398" t="inlineStr">
        <is>
          <t>FORSHAGA</t>
        </is>
      </c>
      <c r="F398" t="inlineStr">
        <is>
          <t>Bergvik skog väst AB</t>
        </is>
      </c>
      <c r="G398" t="n">
        <v>1.9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10590-2024</t>
        </is>
      </c>
      <c r="B399" s="1" t="n">
        <v>45366</v>
      </c>
      <c r="C399" s="1" t="n">
        <v>45666</v>
      </c>
      <c r="D399" t="inlineStr">
        <is>
          <t>VÄRMLANDS LÄN</t>
        </is>
      </c>
      <c r="E399" t="inlineStr">
        <is>
          <t>FORSHAGA</t>
        </is>
      </c>
      <c r="G399" t="n">
        <v>6.7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10502-2024</t>
        </is>
      </c>
      <c r="B400" s="1" t="n">
        <v>45366</v>
      </c>
      <c r="C400" s="1" t="n">
        <v>45666</v>
      </c>
      <c r="D400" t="inlineStr">
        <is>
          <t>VÄRMLANDS LÄN</t>
        </is>
      </c>
      <c r="E400" t="inlineStr">
        <is>
          <t>FORSHAGA</t>
        </is>
      </c>
      <c r="F400" t="inlineStr">
        <is>
          <t>Bergvik skog väst AB</t>
        </is>
      </c>
      <c r="G400" t="n">
        <v>33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11196-2024</t>
        </is>
      </c>
      <c r="B401" s="1" t="n">
        <v>45371</v>
      </c>
      <c r="C401" s="1" t="n">
        <v>45666</v>
      </c>
      <c r="D401" t="inlineStr">
        <is>
          <t>VÄRMLANDS LÄN</t>
        </is>
      </c>
      <c r="E401" t="inlineStr">
        <is>
          <t>FORSHAGA</t>
        </is>
      </c>
      <c r="G401" t="n">
        <v>2.1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11350-2024</t>
        </is>
      </c>
      <c r="B402" s="1" t="n">
        <v>45372</v>
      </c>
      <c r="C402" s="1" t="n">
        <v>45666</v>
      </c>
      <c r="D402" t="inlineStr">
        <is>
          <t>VÄRMLANDS LÄN</t>
        </is>
      </c>
      <c r="E402" t="inlineStr">
        <is>
          <t>FORSHAGA</t>
        </is>
      </c>
      <c r="G402" t="n">
        <v>6.2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11734-2024</t>
        </is>
      </c>
      <c r="B403" s="1" t="n">
        <v>45373</v>
      </c>
      <c r="C403" s="1" t="n">
        <v>45666</v>
      </c>
      <c r="D403" t="inlineStr">
        <is>
          <t>VÄRMLANDS LÄN</t>
        </is>
      </c>
      <c r="E403" t="inlineStr">
        <is>
          <t>FORSHAGA</t>
        </is>
      </c>
      <c r="F403" t="inlineStr">
        <is>
          <t>Bergvik skog väst AB</t>
        </is>
      </c>
      <c r="G403" t="n">
        <v>12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11779-2024</t>
        </is>
      </c>
      <c r="B404" s="1" t="n">
        <v>45374</v>
      </c>
      <c r="C404" s="1" t="n">
        <v>45666</v>
      </c>
      <c r="D404" t="inlineStr">
        <is>
          <t>VÄRMLANDS LÄN</t>
        </is>
      </c>
      <c r="E404" t="inlineStr">
        <is>
          <t>FORSHAGA</t>
        </is>
      </c>
      <c r="G404" t="n">
        <v>3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12320-2024</t>
        </is>
      </c>
      <c r="B405" s="1" t="n">
        <v>45378</v>
      </c>
      <c r="C405" s="1" t="n">
        <v>45666</v>
      </c>
      <c r="D405" t="inlineStr">
        <is>
          <t>VÄRMLANDS LÄN</t>
        </is>
      </c>
      <c r="E405" t="inlineStr">
        <is>
          <t>FORSHAGA</t>
        </is>
      </c>
      <c r="F405" t="inlineStr">
        <is>
          <t>Bergvik skog väst AB</t>
        </is>
      </c>
      <c r="G405" t="n">
        <v>0.9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12768-2024</t>
        </is>
      </c>
      <c r="B406" s="1" t="n">
        <v>45384</v>
      </c>
      <c r="C406" s="1" t="n">
        <v>45666</v>
      </c>
      <c r="D406" t="inlineStr">
        <is>
          <t>VÄRMLANDS LÄN</t>
        </is>
      </c>
      <c r="E406" t="inlineStr">
        <is>
          <t>FORSHAGA</t>
        </is>
      </c>
      <c r="F406" t="inlineStr">
        <is>
          <t>Bergvik skog väst AB</t>
        </is>
      </c>
      <c r="G406" t="n">
        <v>7.4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13198-2024</t>
        </is>
      </c>
      <c r="B407" s="1" t="n">
        <v>45386</v>
      </c>
      <c r="C407" s="1" t="n">
        <v>45666</v>
      </c>
      <c r="D407" t="inlineStr">
        <is>
          <t>VÄRMLANDS LÄN</t>
        </is>
      </c>
      <c r="E407" t="inlineStr">
        <is>
          <t>FORSHAGA</t>
        </is>
      </c>
      <c r="G407" t="n">
        <v>4.2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15087-2024</t>
        </is>
      </c>
      <c r="B408" s="1" t="n">
        <v>45399</v>
      </c>
      <c r="C408" s="1" t="n">
        <v>45666</v>
      </c>
      <c r="D408" t="inlineStr">
        <is>
          <t>VÄRMLANDS LÄN</t>
        </is>
      </c>
      <c r="E408" t="inlineStr">
        <is>
          <t>FORSHAGA</t>
        </is>
      </c>
      <c r="G408" t="n">
        <v>8.1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14988-2024</t>
        </is>
      </c>
      <c r="B409" s="1" t="n">
        <v>45399</v>
      </c>
      <c r="C409" s="1" t="n">
        <v>45666</v>
      </c>
      <c r="D409" t="inlineStr">
        <is>
          <t>VÄRMLANDS LÄN</t>
        </is>
      </c>
      <c r="E409" t="inlineStr">
        <is>
          <t>FORSHAGA</t>
        </is>
      </c>
      <c r="G409" t="n">
        <v>2.1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15526-2024</t>
        </is>
      </c>
      <c r="B410" s="1" t="n">
        <v>45401</v>
      </c>
      <c r="C410" s="1" t="n">
        <v>45666</v>
      </c>
      <c r="D410" t="inlineStr">
        <is>
          <t>VÄRMLANDS LÄN</t>
        </is>
      </c>
      <c r="E410" t="inlineStr">
        <is>
          <t>FORSHAGA</t>
        </is>
      </c>
      <c r="F410" t="inlineStr">
        <is>
          <t>Bergvik skog väst AB</t>
        </is>
      </c>
      <c r="G410" t="n">
        <v>4.2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15497-2024</t>
        </is>
      </c>
      <c r="B411" s="1" t="n">
        <v>45401</v>
      </c>
      <c r="C411" s="1" t="n">
        <v>45666</v>
      </c>
      <c r="D411" t="inlineStr">
        <is>
          <t>VÄRMLANDS LÄN</t>
        </is>
      </c>
      <c r="E411" t="inlineStr">
        <is>
          <t>FORSHAGA</t>
        </is>
      </c>
      <c r="F411" t="inlineStr">
        <is>
          <t>Bergvik skog väst AB</t>
        </is>
      </c>
      <c r="G411" t="n">
        <v>6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15588-2024</t>
        </is>
      </c>
      <c r="B412" s="1" t="n">
        <v>45401</v>
      </c>
      <c r="C412" s="1" t="n">
        <v>45666</v>
      </c>
      <c r="D412" t="inlineStr">
        <is>
          <t>VÄRMLANDS LÄN</t>
        </is>
      </c>
      <c r="E412" t="inlineStr">
        <is>
          <t>FORSHAGA</t>
        </is>
      </c>
      <c r="F412" t="inlineStr">
        <is>
          <t>Bergvik skog väst AB</t>
        </is>
      </c>
      <c r="G412" t="n">
        <v>14.5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15439-2024</t>
        </is>
      </c>
      <c r="B413" s="1" t="n">
        <v>45401</v>
      </c>
      <c r="C413" s="1" t="n">
        <v>45666</v>
      </c>
      <c r="D413" t="inlineStr">
        <is>
          <t>VÄRMLANDS LÄN</t>
        </is>
      </c>
      <c r="E413" t="inlineStr">
        <is>
          <t>FORSHAGA</t>
        </is>
      </c>
      <c r="F413" t="inlineStr">
        <is>
          <t>Bergvik skog väst AB</t>
        </is>
      </c>
      <c r="G413" t="n">
        <v>3.3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15393-2024</t>
        </is>
      </c>
      <c r="B414" s="1" t="n">
        <v>45401</v>
      </c>
      <c r="C414" s="1" t="n">
        <v>45666</v>
      </c>
      <c r="D414" t="inlineStr">
        <is>
          <t>VÄRMLANDS LÄN</t>
        </is>
      </c>
      <c r="E414" t="inlineStr">
        <is>
          <t>FORSHAGA</t>
        </is>
      </c>
      <c r="F414" t="inlineStr">
        <is>
          <t>Bergvik skog väst AB</t>
        </is>
      </c>
      <c r="G414" t="n">
        <v>1.9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15441-2024</t>
        </is>
      </c>
      <c r="B415" s="1" t="n">
        <v>45401</v>
      </c>
      <c r="C415" s="1" t="n">
        <v>45666</v>
      </c>
      <c r="D415" t="inlineStr">
        <is>
          <t>VÄRMLANDS LÄN</t>
        </is>
      </c>
      <c r="E415" t="inlineStr">
        <is>
          <t>FORSHAGA</t>
        </is>
      </c>
      <c r="G415" t="n">
        <v>2.6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15558-2024</t>
        </is>
      </c>
      <c r="B416" s="1" t="n">
        <v>45401</v>
      </c>
      <c r="C416" s="1" t="n">
        <v>45666</v>
      </c>
      <c r="D416" t="inlineStr">
        <is>
          <t>VÄRMLANDS LÄN</t>
        </is>
      </c>
      <c r="E416" t="inlineStr">
        <is>
          <t>FORSHAGA</t>
        </is>
      </c>
      <c r="F416" t="inlineStr">
        <is>
          <t>Bergvik skog väst AB</t>
        </is>
      </c>
      <c r="G416" t="n">
        <v>3.1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15507-2024</t>
        </is>
      </c>
      <c r="B417" s="1" t="n">
        <v>45401</v>
      </c>
      <c r="C417" s="1" t="n">
        <v>45666</v>
      </c>
      <c r="D417" t="inlineStr">
        <is>
          <t>VÄRMLANDS LÄN</t>
        </is>
      </c>
      <c r="E417" t="inlineStr">
        <is>
          <t>FORSHAGA</t>
        </is>
      </c>
      <c r="F417" t="inlineStr">
        <is>
          <t>Bergvik skog väst AB</t>
        </is>
      </c>
      <c r="G417" t="n">
        <v>0.8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15663-2024</t>
        </is>
      </c>
      <c r="B418" s="1" t="n">
        <v>45404</v>
      </c>
      <c r="C418" s="1" t="n">
        <v>45666</v>
      </c>
      <c r="D418" t="inlineStr">
        <is>
          <t>VÄRMLANDS LÄN</t>
        </is>
      </c>
      <c r="E418" t="inlineStr">
        <is>
          <t>FORSHAGA</t>
        </is>
      </c>
      <c r="G418" t="n">
        <v>0.4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15644-2024</t>
        </is>
      </c>
      <c r="B419" s="1" t="n">
        <v>45404</v>
      </c>
      <c r="C419" s="1" t="n">
        <v>45666</v>
      </c>
      <c r="D419" t="inlineStr">
        <is>
          <t>VÄRMLANDS LÄN</t>
        </is>
      </c>
      <c r="E419" t="inlineStr">
        <is>
          <t>FORSHAGA</t>
        </is>
      </c>
      <c r="F419" t="inlineStr">
        <is>
          <t>Bergvik skog väst AB</t>
        </is>
      </c>
      <c r="G419" t="n">
        <v>4.9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15807-2024</t>
        </is>
      </c>
      <c r="B420" s="1" t="n">
        <v>45404</v>
      </c>
      <c r="C420" s="1" t="n">
        <v>45666</v>
      </c>
      <c r="D420" t="inlineStr">
        <is>
          <t>VÄRMLANDS LÄN</t>
        </is>
      </c>
      <c r="E420" t="inlineStr">
        <is>
          <t>FORSHAGA</t>
        </is>
      </c>
      <c r="F420" t="inlineStr">
        <is>
          <t>Bergvik skog väst AB</t>
        </is>
      </c>
      <c r="G420" t="n">
        <v>2.4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15871-2024</t>
        </is>
      </c>
      <c r="B421" s="1" t="n">
        <v>45405</v>
      </c>
      <c r="C421" s="1" t="n">
        <v>45666</v>
      </c>
      <c r="D421" t="inlineStr">
        <is>
          <t>VÄRMLANDS LÄN</t>
        </is>
      </c>
      <c r="E421" t="inlineStr">
        <is>
          <t>FORSHAGA</t>
        </is>
      </c>
      <c r="F421" t="inlineStr">
        <is>
          <t>Bergvik skog väst AB</t>
        </is>
      </c>
      <c r="G421" t="n">
        <v>1.3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16359-2024</t>
        </is>
      </c>
      <c r="B422" s="1" t="n">
        <v>45407</v>
      </c>
      <c r="C422" s="1" t="n">
        <v>45666</v>
      </c>
      <c r="D422" t="inlineStr">
        <is>
          <t>VÄRMLANDS LÄN</t>
        </is>
      </c>
      <c r="E422" t="inlineStr">
        <is>
          <t>FORSHAGA</t>
        </is>
      </c>
      <c r="F422" t="inlineStr">
        <is>
          <t>Bergvik skog väst AB</t>
        </is>
      </c>
      <c r="G422" t="n">
        <v>2.2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16366-2024</t>
        </is>
      </c>
      <c r="B423" s="1" t="n">
        <v>45407</v>
      </c>
      <c r="C423" s="1" t="n">
        <v>45666</v>
      </c>
      <c r="D423" t="inlineStr">
        <is>
          <t>VÄRMLANDS LÄN</t>
        </is>
      </c>
      <c r="E423" t="inlineStr">
        <is>
          <t>FORSHAGA</t>
        </is>
      </c>
      <c r="F423" t="inlineStr">
        <is>
          <t>Bergvik skog väst AB</t>
        </is>
      </c>
      <c r="G423" t="n">
        <v>4.5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16496-2024</t>
        </is>
      </c>
      <c r="B424" s="1" t="n">
        <v>45408</v>
      </c>
      <c r="C424" s="1" t="n">
        <v>45666</v>
      </c>
      <c r="D424" t="inlineStr">
        <is>
          <t>VÄRMLANDS LÄN</t>
        </is>
      </c>
      <c r="E424" t="inlineStr">
        <is>
          <t>FORSHAGA</t>
        </is>
      </c>
      <c r="F424" t="inlineStr">
        <is>
          <t>Bergvik skog väst AB</t>
        </is>
      </c>
      <c r="G424" t="n">
        <v>2.5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16495-2024</t>
        </is>
      </c>
      <c r="B425" s="1" t="n">
        <v>45408</v>
      </c>
      <c r="C425" s="1" t="n">
        <v>45666</v>
      </c>
      <c r="D425" t="inlineStr">
        <is>
          <t>VÄRMLANDS LÄN</t>
        </is>
      </c>
      <c r="E425" t="inlineStr">
        <is>
          <t>FORSHAGA</t>
        </is>
      </c>
      <c r="F425" t="inlineStr">
        <is>
          <t>Bergvik skog väst AB</t>
        </is>
      </c>
      <c r="G425" t="n">
        <v>0.5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16518-2024</t>
        </is>
      </c>
      <c r="B426" s="1" t="n">
        <v>45408</v>
      </c>
      <c r="C426" s="1" t="n">
        <v>45666</v>
      </c>
      <c r="D426" t="inlineStr">
        <is>
          <t>VÄRMLANDS LÄN</t>
        </is>
      </c>
      <c r="E426" t="inlineStr">
        <is>
          <t>FORSHAGA</t>
        </is>
      </c>
      <c r="F426" t="inlineStr">
        <is>
          <t>Bergvik skog väst AB</t>
        </is>
      </c>
      <c r="G426" t="n">
        <v>2.1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16526-2024</t>
        </is>
      </c>
      <c r="B427" s="1" t="n">
        <v>45408</v>
      </c>
      <c r="C427" s="1" t="n">
        <v>45666</v>
      </c>
      <c r="D427" t="inlineStr">
        <is>
          <t>VÄRMLANDS LÄN</t>
        </is>
      </c>
      <c r="E427" t="inlineStr">
        <is>
          <t>FORSHAGA</t>
        </is>
      </c>
      <c r="F427" t="inlineStr">
        <is>
          <t>Bergvik skog väst AB</t>
        </is>
      </c>
      <c r="G427" t="n">
        <v>4.3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17519-2024</t>
        </is>
      </c>
      <c r="B428" s="1" t="n">
        <v>45415</v>
      </c>
      <c r="C428" s="1" t="n">
        <v>45666</v>
      </c>
      <c r="D428" t="inlineStr">
        <is>
          <t>VÄRMLANDS LÄN</t>
        </is>
      </c>
      <c r="E428" t="inlineStr">
        <is>
          <t>FORSHAGA</t>
        </is>
      </c>
      <c r="F428" t="inlineStr">
        <is>
          <t>Bergvik skog väst AB</t>
        </is>
      </c>
      <c r="G428" t="n">
        <v>4.5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17505-2024</t>
        </is>
      </c>
      <c r="B429" s="1" t="n">
        <v>45415</v>
      </c>
      <c r="C429" s="1" t="n">
        <v>45666</v>
      </c>
      <c r="D429" t="inlineStr">
        <is>
          <t>VÄRMLANDS LÄN</t>
        </is>
      </c>
      <c r="E429" t="inlineStr">
        <is>
          <t>FORSHAGA</t>
        </is>
      </c>
      <c r="F429" t="inlineStr">
        <is>
          <t>Bergvik skog väst AB</t>
        </is>
      </c>
      <c r="G429" t="n">
        <v>2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17539-2024</t>
        </is>
      </c>
      <c r="B430" s="1" t="n">
        <v>45415</v>
      </c>
      <c r="C430" s="1" t="n">
        <v>45666</v>
      </c>
      <c r="D430" t="inlineStr">
        <is>
          <t>VÄRMLANDS LÄN</t>
        </is>
      </c>
      <c r="E430" t="inlineStr">
        <is>
          <t>FORSHAGA</t>
        </is>
      </c>
      <c r="F430" t="inlineStr">
        <is>
          <t>Bergvik skog väst AB</t>
        </is>
      </c>
      <c r="G430" t="n">
        <v>8.5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18026-2024</t>
        </is>
      </c>
      <c r="B431" s="1" t="n">
        <v>45420</v>
      </c>
      <c r="C431" s="1" t="n">
        <v>45666</v>
      </c>
      <c r="D431" t="inlineStr">
        <is>
          <t>VÄRMLANDS LÄN</t>
        </is>
      </c>
      <c r="E431" t="inlineStr">
        <is>
          <t>FORSHAGA</t>
        </is>
      </c>
      <c r="F431" t="inlineStr">
        <is>
          <t>Bergvik skog väst AB</t>
        </is>
      </c>
      <c r="G431" t="n">
        <v>2.4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18311-2024</t>
        </is>
      </c>
      <c r="B432" s="1" t="n">
        <v>45422</v>
      </c>
      <c r="C432" s="1" t="n">
        <v>45666</v>
      </c>
      <c r="D432" t="inlineStr">
        <is>
          <t>VÄRMLANDS LÄN</t>
        </is>
      </c>
      <c r="E432" t="inlineStr">
        <is>
          <t>FORSHAGA</t>
        </is>
      </c>
      <c r="F432" t="inlineStr">
        <is>
          <t>Bergvik skog väst AB</t>
        </is>
      </c>
      <c r="G432" t="n">
        <v>1.8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18686-2024</t>
        </is>
      </c>
      <c r="B433" s="1" t="n">
        <v>45426</v>
      </c>
      <c r="C433" s="1" t="n">
        <v>45666</v>
      </c>
      <c r="D433" t="inlineStr">
        <is>
          <t>VÄRMLANDS LÄN</t>
        </is>
      </c>
      <c r="E433" t="inlineStr">
        <is>
          <t>FORSHAGA</t>
        </is>
      </c>
      <c r="G433" t="n">
        <v>2.1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19480-2024</t>
        </is>
      </c>
      <c r="B434" s="1" t="n">
        <v>45429</v>
      </c>
      <c r="C434" s="1" t="n">
        <v>45666</v>
      </c>
      <c r="D434" t="inlineStr">
        <is>
          <t>VÄRMLANDS LÄN</t>
        </is>
      </c>
      <c r="E434" t="inlineStr">
        <is>
          <t>FORSHAGA</t>
        </is>
      </c>
      <c r="F434" t="inlineStr">
        <is>
          <t>Bergvik skog väst AB</t>
        </is>
      </c>
      <c r="G434" t="n">
        <v>2.6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19496-2024</t>
        </is>
      </c>
      <c r="B435" s="1" t="n">
        <v>45429</v>
      </c>
      <c r="C435" s="1" t="n">
        <v>45666</v>
      </c>
      <c r="D435" t="inlineStr">
        <is>
          <t>VÄRMLANDS LÄN</t>
        </is>
      </c>
      <c r="E435" t="inlineStr">
        <is>
          <t>FORSHAGA</t>
        </is>
      </c>
      <c r="F435" t="inlineStr">
        <is>
          <t>Bergvik skog väst AB</t>
        </is>
      </c>
      <c r="G435" t="n">
        <v>5.9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20027-2024</t>
        </is>
      </c>
      <c r="B436" s="1" t="n">
        <v>45434</v>
      </c>
      <c r="C436" s="1" t="n">
        <v>45666</v>
      </c>
      <c r="D436" t="inlineStr">
        <is>
          <t>VÄRMLANDS LÄN</t>
        </is>
      </c>
      <c r="E436" t="inlineStr">
        <is>
          <t>FORSHAGA</t>
        </is>
      </c>
      <c r="F436" t="inlineStr">
        <is>
          <t>Bergvik skog väst AB</t>
        </is>
      </c>
      <c r="G436" t="n">
        <v>8.5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20138-2024</t>
        </is>
      </c>
      <c r="B437" s="1" t="n">
        <v>45434</v>
      </c>
      <c r="C437" s="1" t="n">
        <v>45666</v>
      </c>
      <c r="D437" t="inlineStr">
        <is>
          <t>VÄRMLANDS LÄN</t>
        </is>
      </c>
      <c r="E437" t="inlineStr">
        <is>
          <t>FORSHAGA</t>
        </is>
      </c>
      <c r="F437" t="inlineStr">
        <is>
          <t>Bergvik skog väst AB</t>
        </is>
      </c>
      <c r="G437" t="n">
        <v>1.2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20133-2024</t>
        </is>
      </c>
      <c r="B438" s="1" t="n">
        <v>45434</v>
      </c>
      <c r="C438" s="1" t="n">
        <v>45666</v>
      </c>
      <c r="D438" t="inlineStr">
        <is>
          <t>VÄRMLANDS LÄN</t>
        </is>
      </c>
      <c r="E438" t="inlineStr">
        <is>
          <t>FORSHAGA</t>
        </is>
      </c>
      <c r="F438" t="inlineStr">
        <is>
          <t>Bergvik skog väst AB</t>
        </is>
      </c>
      <c r="G438" t="n">
        <v>5.2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20880-2024</t>
        </is>
      </c>
      <c r="B439" s="1" t="n">
        <v>45439</v>
      </c>
      <c r="C439" s="1" t="n">
        <v>45666</v>
      </c>
      <c r="D439" t="inlineStr">
        <is>
          <t>VÄRMLANDS LÄN</t>
        </is>
      </c>
      <c r="E439" t="inlineStr">
        <is>
          <t>FORSHAGA</t>
        </is>
      </c>
      <c r="G439" t="n">
        <v>1.5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21044-2024</t>
        </is>
      </c>
      <c r="B440" s="1" t="n">
        <v>45439</v>
      </c>
      <c r="C440" s="1" t="n">
        <v>45666</v>
      </c>
      <c r="D440" t="inlineStr">
        <is>
          <t>VÄRMLANDS LÄN</t>
        </is>
      </c>
      <c r="E440" t="inlineStr">
        <is>
          <t>FORSHAGA</t>
        </is>
      </c>
      <c r="G440" t="n">
        <v>4.4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20988-2024</t>
        </is>
      </c>
      <c r="B441" s="1" t="n">
        <v>45439</v>
      </c>
      <c r="C441" s="1" t="n">
        <v>45666</v>
      </c>
      <c r="D441" t="inlineStr">
        <is>
          <t>VÄRMLANDS LÄN</t>
        </is>
      </c>
      <c r="E441" t="inlineStr">
        <is>
          <t>FORSHAGA</t>
        </is>
      </c>
      <c r="G441" t="n">
        <v>8.699999999999999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20933-2024</t>
        </is>
      </c>
      <c r="B442" s="1" t="n">
        <v>45439</v>
      </c>
      <c r="C442" s="1" t="n">
        <v>45666</v>
      </c>
      <c r="D442" t="inlineStr">
        <is>
          <t>VÄRMLANDS LÄN</t>
        </is>
      </c>
      <c r="E442" t="inlineStr">
        <is>
          <t>FORSHAGA</t>
        </is>
      </c>
      <c r="G442" t="n">
        <v>11.3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20928-2024</t>
        </is>
      </c>
      <c r="B443" s="1" t="n">
        <v>45439</v>
      </c>
      <c r="C443" s="1" t="n">
        <v>45666</v>
      </c>
      <c r="D443" t="inlineStr">
        <is>
          <t>VÄRMLANDS LÄN</t>
        </is>
      </c>
      <c r="E443" t="inlineStr">
        <is>
          <t>FORSHAGA</t>
        </is>
      </c>
      <c r="G443" t="n">
        <v>2.9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20991-2024</t>
        </is>
      </c>
      <c r="B444" s="1" t="n">
        <v>45439</v>
      </c>
      <c r="C444" s="1" t="n">
        <v>45666</v>
      </c>
      <c r="D444" t="inlineStr">
        <is>
          <t>VÄRMLANDS LÄN</t>
        </is>
      </c>
      <c r="E444" t="inlineStr">
        <is>
          <t>FORSHAGA</t>
        </is>
      </c>
      <c r="F444" t="inlineStr">
        <is>
          <t>Bergvik skog väst AB</t>
        </is>
      </c>
      <c r="G444" t="n">
        <v>2.8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20862-2024</t>
        </is>
      </c>
      <c r="B445" s="1" t="n">
        <v>45439</v>
      </c>
      <c r="C445" s="1" t="n">
        <v>45666</v>
      </c>
      <c r="D445" t="inlineStr">
        <is>
          <t>VÄRMLANDS LÄN</t>
        </is>
      </c>
      <c r="E445" t="inlineStr">
        <is>
          <t>FORSHAGA</t>
        </is>
      </c>
      <c r="G445" t="n">
        <v>9.199999999999999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21745-2024</t>
        </is>
      </c>
      <c r="B446" s="1" t="n">
        <v>45442</v>
      </c>
      <c r="C446" s="1" t="n">
        <v>45666</v>
      </c>
      <c r="D446" t="inlineStr">
        <is>
          <t>VÄRMLANDS LÄN</t>
        </is>
      </c>
      <c r="E446" t="inlineStr">
        <is>
          <t>FORSHAGA</t>
        </is>
      </c>
      <c r="G446" t="n">
        <v>2.7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22362-2024</t>
        </is>
      </c>
      <c r="B447" s="1" t="n">
        <v>45446</v>
      </c>
      <c r="C447" s="1" t="n">
        <v>45666</v>
      </c>
      <c r="D447" t="inlineStr">
        <is>
          <t>VÄRMLANDS LÄN</t>
        </is>
      </c>
      <c r="E447" t="inlineStr">
        <is>
          <t>FORSHAGA</t>
        </is>
      </c>
      <c r="G447" t="n">
        <v>1.6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22407-2024</t>
        </is>
      </c>
      <c r="B448" s="1" t="n">
        <v>45446</v>
      </c>
      <c r="C448" s="1" t="n">
        <v>45666</v>
      </c>
      <c r="D448" t="inlineStr">
        <is>
          <t>VÄRMLANDS LÄN</t>
        </is>
      </c>
      <c r="E448" t="inlineStr">
        <is>
          <t>FORSHAGA</t>
        </is>
      </c>
      <c r="G448" t="n">
        <v>6.2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22582-2024</t>
        </is>
      </c>
      <c r="B449" s="1" t="n">
        <v>45447</v>
      </c>
      <c r="C449" s="1" t="n">
        <v>45666</v>
      </c>
      <c r="D449" t="inlineStr">
        <is>
          <t>VÄRMLANDS LÄN</t>
        </is>
      </c>
      <c r="E449" t="inlineStr">
        <is>
          <t>FORSHAGA</t>
        </is>
      </c>
      <c r="F449" t="inlineStr">
        <is>
          <t>Bergvik skog väst AB</t>
        </is>
      </c>
      <c r="G449" t="n">
        <v>4.9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22562-2024</t>
        </is>
      </c>
      <c r="B450" s="1" t="n">
        <v>45447</v>
      </c>
      <c r="C450" s="1" t="n">
        <v>45666</v>
      </c>
      <c r="D450" t="inlineStr">
        <is>
          <t>VÄRMLANDS LÄN</t>
        </is>
      </c>
      <c r="E450" t="inlineStr">
        <is>
          <t>FORSHAGA</t>
        </is>
      </c>
      <c r="F450" t="inlineStr">
        <is>
          <t>Bergvik skog väst AB</t>
        </is>
      </c>
      <c r="G450" t="n">
        <v>12.9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23451-2024</t>
        </is>
      </c>
      <c r="B451" s="1" t="n">
        <v>45453</v>
      </c>
      <c r="C451" s="1" t="n">
        <v>45666</v>
      </c>
      <c r="D451" t="inlineStr">
        <is>
          <t>VÄRMLANDS LÄN</t>
        </is>
      </c>
      <c r="E451" t="inlineStr">
        <is>
          <t>FORSHAGA</t>
        </is>
      </c>
      <c r="G451" t="n">
        <v>6.1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23409-2024</t>
        </is>
      </c>
      <c r="B452" s="1" t="n">
        <v>45453</v>
      </c>
      <c r="C452" s="1" t="n">
        <v>45666</v>
      </c>
      <c r="D452" t="inlineStr">
        <is>
          <t>VÄRMLANDS LÄN</t>
        </is>
      </c>
      <c r="E452" t="inlineStr">
        <is>
          <t>FORSHAGA</t>
        </is>
      </c>
      <c r="G452" t="n">
        <v>5.9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23900-2024</t>
        </is>
      </c>
      <c r="B453" s="1" t="n">
        <v>45455</v>
      </c>
      <c r="C453" s="1" t="n">
        <v>45666</v>
      </c>
      <c r="D453" t="inlineStr">
        <is>
          <t>VÄRMLANDS LÄN</t>
        </is>
      </c>
      <c r="E453" t="inlineStr">
        <is>
          <t>FORSHAGA</t>
        </is>
      </c>
      <c r="G453" t="n">
        <v>6.9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25094-2024</t>
        </is>
      </c>
      <c r="B454" s="1" t="n">
        <v>45462</v>
      </c>
      <c r="C454" s="1" t="n">
        <v>45666</v>
      </c>
      <c r="D454" t="inlineStr">
        <is>
          <t>VÄRMLANDS LÄN</t>
        </is>
      </c>
      <c r="E454" t="inlineStr">
        <is>
          <t>FORSHAGA</t>
        </is>
      </c>
      <c r="G454" t="n">
        <v>1.1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26869-2024</t>
        </is>
      </c>
      <c r="B455" s="1" t="n">
        <v>45470</v>
      </c>
      <c r="C455" s="1" t="n">
        <v>45666</v>
      </c>
      <c r="D455" t="inlineStr">
        <is>
          <t>VÄRMLANDS LÄN</t>
        </is>
      </c>
      <c r="E455" t="inlineStr">
        <is>
          <t>FORSHAGA</t>
        </is>
      </c>
      <c r="F455" t="inlineStr">
        <is>
          <t>Bergvik skog väst AB</t>
        </is>
      </c>
      <c r="G455" t="n">
        <v>2.3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27995-2024</t>
        </is>
      </c>
      <c r="B456" s="1" t="n">
        <v>45476</v>
      </c>
      <c r="C456" s="1" t="n">
        <v>45666</v>
      </c>
      <c r="D456" t="inlineStr">
        <is>
          <t>VÄRMLANDS LÄN</t>
        </is>
      </c>
      <c r="E456" t="inlineStr">
        <is>
          <t>FORSHAGA</t>
        </is>
      </c>
      <c r="G456" t="n">
        <v>3.8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28361-2024</t>
        </is>
      </c>
      <c r="B457" s="1" t="n">
        <v>45477</v>
      </c>
      <c r="C457" s="1" t="n">
        <v>45666</v>
      </c>
      <c r="D457" t="inlineStr">
        <is>
          <t>VÄRMLANDS LÄN</t>
        </is>
      </c>
      <c r="E457" t="inlineStr">
        <is>
          <t>FORSHAGA</t>
        </is>
      </c>
      <c r="F457" t="inlineStr">
        <is>
          <t>Bergvik skog väst AB</t>
        </is>
      </c>
      <c r="G457" t="n">
        <v>1.1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28271-2024</t>
        </is>
      </c>
      <c r="B458" s="1" t="n">
        <v>45477</v>
      </c>
      <c r="C458" s="1" t="n">
        <v>45666</v>
      </c>
      <c r="D458" t="inlineStr">
        <is>
          <t>VÄRMLANDS LÄN</t>
        </is>
      </c>
      <c r="E458" t="inlineStr">
        <is>
          <t>FORSHAGA</t>
        </is>
      </c>
      <c r="G458" t="n">
        <v>1.9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28301-2024</t>
        </is>
      </c>
      <c r="B459" s="1" t="n">
        <v>45477</v>
      </c>
      <c r="C459" s="1" t="n">
        <v>45666</v>
      </c>
      <c r="D459" t="inlineStr">
        <is>
          <t>VÄRMLANDS LÄN</t>
        </is>
      </c>
      <c r="E459" t="inlineStr">
        <is>
          <t>FORSHAGA</t>
        </is>
      </c>
      <c r="G459" t="n">
        <v>1.5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28242-2024</t>
        </is>
      </c>
      <c r="B460" s="1" t="n">
        <v>45477</v>
      </c>
      <c r="C460" s="1" t="n">
        <v>45666</v>
      </c>
      <c r="D460" t="inlineStr">
        <is>
          <t>VÄRMLANDS LÄN</t>
        </is>
      </c>
      <c r="E460" t="inlineStr">
        <is>
          <t>FORSHAGA</t>
        </is>
      </c>
      <c r="G460" t="n">
        <v>2.9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28517-2024</t>
        </is>
      </c>
      <c r="B461" s="1" t="n">
        <v>45478</v>
      </c>
      <c r="C461" s="1" t="n">
        <v>45666</v>
      </c>
      <c r="D461" t="inlineStr">
        <is>
          <t>VÄRMLANDS LÄN</t>
        </is>
      </c>
      <c r="E461" t="inlineStr">
        <is>
          <t>FORSHAGA</t>
        </is>
      </c>
      <c r="F461" t="inlineStr">
        <is>
          <t>Bergvik skog väst AB</t>
        </is>
      </c>
      <c r="G461" t="n">
        <v>4.6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29051-2024</t>
        </is>
      </c>
      <c r="B462" s="1" t="n">
        <v>45481</v>
      </c>
      <c r="C462" s="1" t="n">
        <v>45666</v>
      </c>
      <c r="D462" t="inlineStr">
        <is>
          <t>VÄRMLANDS LÄN</t>
        </is>
      </c>
      <c r="E462" t="inlineStr">
        <is>
          <t>FORSHAGA</t>
        </is>
      </c>
      <c r="G462" t="n">
        <v>0.4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29425-2024</t>
        </is>
      </c>
      <c r="B463" s="1" t="n">
        <v>45483</v>
      </c>
      <c r="C463" s="1" t="n">
        <v>45666</v>
      </c>
      <c r="D463" t="inlineStr">
        <is>
          <t>VÄRMLANDS LÄN</t>
        </is>
      </c>
      <c r="E463" t="inlineStr">
        <is>
          <t>FORSHAGA</t>
        </is>
      </c>
      <c r="G463" t="n">
        <v>1.5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29427-2024</t>
        </is>
      </c>
      <c r="B464" s="1" t="n">
        <v>45483</v>
      </c>
      <c r="C464" s="1" t="n">
        <v>45666</v>
      </c>
      <c r="D464" t="inlineStr">
        <is>
          <t>VÄRMLANDS LÄN</t>
        </is>
      </c>
      <c r="E464" t="inlineStr">
        <is>
          <t>FORSHAGA</t>
        </is>
      </c>
      <c r="G464" t="n">
        <v>3.7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29426-2024</t>
        </is>
      </c>
      <c r="B465" s="1" t="n">
        <v>45483</v>
      </c>
      <c r="C465" s="1" t="n">
        <v>45666</v>
      </c>
      <c r="D465" t="inlineStr">
        <is>
          <t>VÄRMLANDS LÄN</t>
        </is>
      </c>
      <c r="E465" t="inlineStr">
        <is>
          <t>FORSHAGA</t>
        </is>
      </c>
      <c r="G465" t="n">
        <v>1.2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30859-2024</t>
        </is>
      </c>
      <c r="B466" s="1" t="n">
        <v>45497</v>
      </c>
      <c r="C466" s="1" t="n">
        <v>45666</v>
      </c>
      <c r="D466" t="inlineStr">
        <is>
          <t>VÄRMLANDS LÄN</t>
        </is>
      </c>
      <c r="E466" t="inlineStr">
        <is>
          <t>FORSHAGA</t>
        </is>
      </c>
      <c r="G466" t="n">
        <v>3.8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33070-2024</t>
        </is>
      </c>
      <c r="B467" s="1" t="n">
        <v>45517</v>
      </c>
      <c r="C467" s="1" t="n">
        <v>45666</v>
      </c>
      <c r="D467" t="inlineStr">
        <is>
          <t>VÄRMLANDS LÄN</t>
        </is>
      </c>
      <c r="E467" t="inlineStr">
        <is>
          <t>FORSHAGA</t>
        </is>
      </c>
      <c r="G467" t="n">
        <v>6.3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33034-2024</t>
        </is>
      </c>
      <c r="B468" s="1" t="n">
        <v>45517</v>
      </c>
      <c r="C468" s="1" t="n">
        <v>45666</v>
      </c>
      <c r="D468" t="inlineStr">
        <is>
          <t>VÄRMLANDS LÄN</t>
        </is>
      </c>
      <c r="E468" t="inlineStr">
        <is>
          <t>FORSHAGA</t>
        </is>
      </c>
      <c r="G468" t="n">
        <v>3.9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33013-2024</t>
        </is>
      </c>
      <c r="B469" s="1" t="n">
        <v>45517</v>
      </c>
      <c r="C469" s="1" t="n">
        <v>45666</v>
      </c>
      <c r="D469" t="inlineStr">
        <is>
          <t>VÄRMLANDS LÄN</t>
        </is>
      </c>
      <c r="E469" t="inlineStr">
        <is>
          <t>FORSHAGA</t>
        </is>
      </c>
      <c r="G469" t="n">
        <v>2.2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33058-2024</t>
        </is>
      </c>
      <c r="B470" s="1" t="n">
        <v>45517</v>
      </c>
      <c r="C470" s="1" t="n">
        <v>45666</v>
      </c>
      <c r="D470" t="inlineStr">
        <is>
          <t>VÄRMLANDS LÄN</t>
        </is>
      </c>
      <c r="E470" t="inlineStr">
        <is>
          <t>FORSHAGA</t>
        </is>
      </c>
      <c r="G470" t="n">
        <v>4.1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33065-2024</t>
        </is>
      </c>
      <c r="B471" s="1" t="n">
        <v>45517</v>
      </c>
      <c r="C471" s="1" t="n">
        <v>45666</v>
      </c>
      <c r="D471" t="inlineStr">
        <is>
          <t>VÄRMLANDS LÄN</t>
        </is>
      </c>
      <c r="E471" t="inlineStr">
        <is>
          <t>FORSHAGA</t>
        </is>
      </c>
      <c r="G471" t="n">
        <v>1.5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33590-2024</t>
        </is>
      </c>
      <c r="B472" s="1" t="n">
        <v>45520</v>
      </c>
      <c r="C472" s="1" t="n">
        <v>45666</v>
      </c>
      <c r="D472" t="inlineStr">
        <is>
          <t>VÄRMLANDS LÄN</t>
        </is>
      </c>
      <c r="E472" t="inlineStr">
        <is>
          <t>FORSHAGA</t>
        </is>
      </c>
      <c r="F472" t="inlineStr">
        <is>
          <t>Bergvik skog väst AB</t>
        </is>
      </c>
      <c r="G472" t="n">
        <v>7.8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33569-2024</t>
        </is>
      </c>
      <c r="B473" s="1" t="n">
        <v>45520</v>
      </c>
      <c r="C473" s="1" t="n">
        <v>45666</v>
      </c>
      <c r="D473" t="inlineStr">
        <is>
          <t>VÄRMLANDS LÄN</t>
        </is>
      </c>
      <c r="E473" t="inlineStr">
        <is>
          <t>FORSHAGA</t>
        </is>
      </c>
      <c r="F473" t="inlineStr">
        <is>
          <t>Bergvik skog väst AB</t>
        </is>
      </c>
      <c r="G473" t="n">
        <v>14.8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33811-2024</t>
        </is>
      </c>
      <c r="B474" s="1" t="n">
        <v>45520</v>
      </c>
      <c r="C474" s="1" t="n">
        <v>45666</v>
      </c>
      <c r="D474" t="inlineStr">
        <is>
          <t>VÄRMLANDS LÄN</t>
        </is>
      </c>
      <c r="E474" t="inlineStr">
        <is>
          <t>FORSHAGA</t>
        </is>
      </c>
      <c r="G474" t="n">
        <v>4.5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34427-2024</t>
        </is>
      </c>
      <c r="B475" s="1" t="n">
        <v>45525</v>
      </c>
      <c r="C475" s="1" t="n">
        <v>45666</v>
      </c>
      <c r="D475" t="inlineStr">
        <is>
          <t>VÄRMLANDS LÄN</t>
        </is>
      </c>
      <c r="E475" t="inlineStr">
        <is>
          <t>FORSHAGA</t>
        </is>
      </c>
      <c r="F475" t="inlineStr">
        <is>
          <t>Bergvik skog väst AB</t>
        </is>
      </c>
      <c r="G475" t="n">
        <v>2.6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34407-2024</t>
        </is>
      </c>
      <c r="B476" s="1" t="n">
        <v>45525</v>
      </c>
      <c r="C476" s="1" t="n">
        <v>45666</v>
      </c>
      <c r="D476" t="inlineStr">
        <is>
          <t>VÄRMLANDS LÄN</t>
        </is>
      </c>
      <c r="E476" t="inlineStr">
        <is>
          <t>FORSHAGA</t>
        </is>
      </c>
      <c r="F476" t="inlineStr">
        <is>
          <t>Bergvik skog väst AB</t>
        </is>
      </c>
      <c r="G476" t="n">
        <v>2.8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34758-2024</t>
        </is>
      </c>
      <c r="B477" s="1" t="n">
        <v>45526</v>
      </c>
      <c r="C477" s="1" t="n">
        <v>45666</v>
      </c>
      <c r="D477" t="inlineStr">
        <is>
          <t>VÄRMLANDS LÄN</t>
        </is>
      </c>
      <c r="E477" t="inlineStr">
        <is>
          <t>FORSHAGA</t>
        </is>
      </c>
      <c r="F477" t="inlineStr">
        <is>
          <t>Bergvik skog väst AB</t>
        </is>
      </c>
      <c r="G477" t="n">
        <v>6.2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34786-2024</t>
        </is>
      </c>
      <c r="B478" s="1" t="n">
        <v>45526</v>
      </c>
      <c r="C478" s="1" t="n">
        <v>45666</v>
      </c>
      <c r="D478" t="inlineStr">
        <is>
          <t>VÄRMLANDS LÄN</t>
        </is>
      </c>
      <c r="E478" t="inlineStr">
        <is>
          <t>FORSHAGA</t>
        </is>
      </c>
      <c r="F478" t="inlineStr">
        <is>
          <t>Bergvik skog väst AB</t>
        </is>
      </c>
      <c r="G478" t="n">
        <v>1.2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34886-2024</t>
        </is>
      </c>
      <c r="B479" s="1" t="n">
        <v>45527</v>
      </c>
      <c r="C479" s="1" t="n">
        <v>45666</v>
      </c>
      <c r="D479" t="inlineStr">
        <is>
          <t>VÄRMLANDS LÄN</t>
        </is>
      </c>
      <c r="E479" t="inlineStr">
        <is>
          <t>FORSHAGA</t>
        </is>
      </c>
      <c r="F479" t="inlineStr">
        <is>
          <t>Bergvik skog väst AB</t>
        </is>
      </c>
      <c r="G479" t="n">
        <v>6.3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34849-2024</t>
        </is>
      </c>
      <c r="B480" s="1" t="n">
        <v>45527</v>
      </c>
      <c r="C480" s="1" t="n">
        <v>45666</v>
      </c>
      <c r="D480" t="inlineStr">
        <is>
          <t>VÄRMLANDS LÄN</t>
        </is>
      </c>
      <c r="E480" t="inlineStr">
        <is>
          <t>FORSHAGA</t>
        </is>
      </c>
      <c r="F480" t="inlineStr">
        <is>
          <t>Bergvik skog väst AB</t>
        </is>
      </c>
      <c r="G480" t="n">
        <v>0.5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35336-2024</t>
        </is>
      </c>
      <c r="B481" s="1" t="n">
        <v>45530</v>
      </c>
      <c r="C481" s="1" t="n">
        <v>45666</v>
      </c>
      <c r="D481" t="inlineStr">
        <is>
          <t>VÄRMLANDS LÄN</t>
        </is>
      </c>
      <c r="E481" t="inlineStr">
        <is>
          <t>FORSHAGA</t>
        </is>
      </c>
      <c r="F481" t="inlineStr">
        <is>
          <t>Kommuner</t>
        </is>
      </c>
      <c r="G481" t="n">
        <v>1.4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35335-2024</t>
        </is>
      </c>
      <c r="B482" s="1" t="n">
        <v>45530</v>
      </c>
      <c r="C482" s="1" t="n">
        <v>45666</v>
      </c>
      <c r="D482" t="inlineStr">
        <is>
          <t>VÄRMLANDS LÄN</t>
        </is>
      </c>
      <c r="E482" t="inlineStr">
        <is>
          <t>FORSHAGA</t>
        </is>
      </c>
      <c r="F482" t="inlineStr">
        <is>
          <t>Kommuner</t>
        </is>
      </c>
      <c r="G482" t="n">
        <v>1.1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35215-2024</t>
        </is>
      </c>
      <c r="B483" s="1" t="n">
        <v>45530</v>
      </c>
      <c r="C483" s="1" t="n">
        <v>45666</v>
      </c>
      <c r="D483" t="inlineStr">
        <is>
          <t>VÄRMLANDS LÄN</t>
        </is>
      </c>
      <c r="E483" t="inlineStr">
        <is>
          <t>FORSHAGA</t>
        </is>
      </c>
      <c r="G483" t="n">
        <v>1.4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35333-2024</t>
        </is>
      </c>
      <c r="B484" s="1" t="n">
        <v>45530</v>
      </c>
      <c r="C484" s="1" t="n">
        <v>45666</v>
      </c>
      <c r="D484" t="inlineStr">
        <is>
          <t>VÄRMLANDS LÄN</t>
        </is>
      </c>
      <c r="E484" t="inlineStr">
        <is>
          <t>FORSHAGA</t>
        </is>
      </c>
      <c r="F484" t="inlineStr">
        <is>
          <t>Kommuner</t>
        </is>
      </c>
      <c r="G484" t="n">
        <v>2.8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35654-2024</t>
        </is>
      </c>
      <c r="B485" s="1" t="n">
        <v>45532</v>
      </c>
      <c r="C485" s="1" t="n">
        <v>45666</v>
      </c>
      <c r="D485" t="inlineStr">
        <is>
          <t>VÄRMLANDS LÄN</t>
        </is>
      </c>
      <c r="E485" t="inlineStr">
        <is>
          <t>FORSHAGA</t>
        </is>
      </c>
      <c r="G485" t="n">
        <v>0.9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35912-2024</t>
        </is>
      </c>
      <c r="B486" s="1" t="n">
        <v>45533</v>
      </c>
      <c r="C486" s="1" t="n">
        <v>45666</v>
      </c>
      <c r="D486" t="inlineStr">
        <is>
          <t>VÄRMLANDS LÄN</t>
        </is>
      </c>
      <c r="E486" t="inlineStr">
        <is>
          <t>FORSHAGA</t>
        </is>
      </c>
      <c r="G486" t="n">
        <v>7.1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35940-2024</t>
        </is>
      </c>
      <c r="B487" s="1" t="n">
        <v>45533</v>
      </c>
      <c r="C487" s="1" t="n">
        <v>45666</v>
      </c>
      <c r="D487" t="inlineStr">
        <is>
          <t>VÄRMLANDS LÄN</t>
        </is>
      </c>
      <c r="E487" t="inlineStr">
        <is>
          <t>FORSHAGA</t>
        </is>
      </c>
      <c r="G487" t="n">
        <v>6.7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37377-2024</t>
        </is>
      </c>
      <c r="B488" s="1" t="n">
        <v>45540</v>
      </c>
      <c r="C488" s="1" t="n">
        <v>45666</v>
      </c>
      <c r="D488" t="inlineStr">
        <is>
          <t>VÄRMLANDS LÄN</t>
        </is>
      </c>
      <c r="E488" t="inlineStr">
        <is>
          <t>FORSHAGA</t>
        </is>
      </c>
      <c r="G488" t="n">
        <v>1.5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37606-2024</t>
        </is>
      </c>
      <c r="B489" s="1" t="n">
        <v>45541</v>
      </c>
      <c r="C489" s="1" t="n">
        <v>45666</v>
      </c>
      <c r="D489" t="inlineStr">
        <is>
          <t>VÄRMLANDS LÄN</t>
        </is>
      </c>
      <c r="E489" t="inlineStr">
        <is>
          <t>FORSHAGA</t>
        </is>
      </c>
      <c r="G489" t="n">
        <v>3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37746-2024</t>
        </is>
      </c>
      <c r="B490" s="1" t="n">
        <v>45541</v>
      </c>
      <c r="C490" s="1" t="n">
        <v>45666</v>
      </c>
      <c r="D490" t="inlineStr">
        <is>
          <t>VÄRMLANDS LÄN</t>
        </is>
      </c>
      <c r="E490" t="inlineStr">
        <is>
          <t>FORSHAGA</t>
        </is>
      </c>
      <c r="F490" t="inlineStr">
        <is>
          <t>Bergvik skog väst AB</t>
        </is>
      </c>
      <c r="G490" t="n">
        <v>24.7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39402-2024</t>
        </is>
      </c>
      <c r="B491" s="1" t="n">
        <v>45551</v>
      </c>
      <c r="C491" s="1" t="n">
        <v>45666</v>
      </c>
      <c r="D491" t="inlineStr">
        <is>
          <t>VÄRMLANDS LÄN</t>
        </is>
      </c>
      <c r="E491" t="inlineStr">
        <is>
          <t>FORSHAGA</t>
        </is>
      </c>
      <c r="G491" t="n">
        <v>1.2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39407-2024</t>
        </is>
      </c>
      <c r="B492" s="1" t="n">
        <v>45551</v>
      </c>
      <c r="C492" s="1" t="n">
        <v>45666</v>
      </c>
      <c r="D492" t="inlineStr">
        <is>
          <t>VÄRMLANDS LÄN</t>
        </is>
      </c>
      <c r="E492" t="inlineStr">
        <is>
          <t>FORSHAGA</t>
        </is>
      </c>
      <c r="G492" t="n">
        <v>1.4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39404-2024</t>
        </is>
      </c>
      <c r="B493" s="1" t="n">
        <v>45551</v>
      </c>
      <c r="C493" s="1" t="n">
        <v>45666</v>
      </c>
      <c r="D493" t="inlineStr">
        <is>
          <t>VÄRMLANDS LÄN</t>
        </is>
      </c>
      <c r="E493" t="inlineStr">
        <is>
          <t>FORSHAGA</t>
        </is>
      </c>
      <c r="G493" t="n">
        <v>0.8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40898-2024</t>
        </is>
      </c>
      <c r="B494" s="1" t="n">
        <v>45558</v>
      </c>
      <c r="C494" s="1" t="n">
        <v>45666</v>
      </c>
      <c r="D494" t="inlineStr">
        <is>
          <t>VÄRMLANDS LÄN</t>
        </is>
      </c>
      <c r="E494" t="inlineStr">
        <is>
          <t>FORSHAGA</t>
        </is>
      </c>
      <c r="G494" t="n">
        <v>1.8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42511-2024</t>
        </is>
      </c>
      <c r="B495" s="1" t="n">
        <v>45565</v>
      </c>
      <c r="C495" s="1" t="n">
        <v>45666</v>
      </c>
      <c r="D495" t="inlineStr">
        <is>
          <t>VÄRMLANDS LÄN</t>
        </is>
      </c>
      <c r="E495" t="inlineStr">
        <is>
          <t>FORSHAGA</t>
        </is>
      </c>
      <c r="F495" t="inlineStr">
        <is>
          <t>Bergvik skog väst AB</t>
        </is>
      </c>
      <c r="G495" t="n">
        <v>4.3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42809-2024</t>
        </is>
      </c>
      <c r="B496" s="1" t="n">
        <v>45566</v>
      </c>
      <c r="C496" s="1" t="n">
        <v>45666</v>
      </c>
      <c r="D496" t="inlineStr">
        <is>
          <t>VÄRMLANDS LÄN</t>
        </is>
      </c>
      <c r="E496" t="inlineStr">
        <is>
          <t>FORSHAGA</t>
        </is>
      </c>
      <c r="F496" t="inlineStr">
        <is>
          <t>Bergvik skog väst AB</t>
        </is>
      </c>
      <c r="G496" t="n">
        <v>3.9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43163-2024</t>
        </is>
      </c>
      <c r="B497" s="1" t="n">
        <v>45567</v>
      </c>
      <c r="C497" s="1" t="n">
        <v>45666</v>
      </c>
      <c r="D497" t="inlineStr">
        <is>
          <t>VÄRMLANDS LÄN</t>
        </is>
      </c>
      <c r="E497" t="inlineStr">
        <is>
          <t>FORSHAGA</t>
        </is>
      </c>
      <c r="F497" t="inlineStr">
        <is>
          <t>Bergvik skog väst AB</t>
        </is>
      </c>
      <c r="G497" t="n">
        <v>9.4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43387-2024</t>
        </is>
      </c>
      <c r="B498" s="1" t="n">
        <v>45568</v>
      </c>
      <c r="C498" s="1" t="n">
        <v>45666</v>
      </c>
      <c r="D498" t="inlineStr">
        <is>
          <t>VÄRMLANDS LÄN</t>
        </is>
      </c>
      <c r="E498" t="inlineStr">
        <is>
          <t>FORSHAGA</t>
        </is>
      </c>
      <c r="G498" t="n">
        <v>0.7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45282-2024</t>
        </is>
      </c>
      <c r="B499" s="1" t="n">
        <v>45576</v>
      </c>
      <c r="C499" s="1" t="n">
        <v>45666</v>
      </c>
      <c r="D499" t="inlineStr">
        <is>
          <t>VÄRMLANDS LÄN</t>
        </is>
      </c>
      <c r="E499" t="inlineStr">
        <is>
          <t>FORSHAGA</t>
        </is>
      </c>
      <c r="F499" t="inlineStr">
        <is>
          <t>Bergvik skog väst AB</t>
        </is>
      </c>
      <c r="G499" t="n">
        <v>4.5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48641-2024</t>
        </is>
      </c>
      <c r="B500" s="1" t="n">
        <v>45593</v>
      </c>
      <c r="C500" s="1" t="n">
        <v>45666</v>
      </c>
      <c r="D500" t="inlineStr">
        <is>
          <t>VÄRMLANDS LÄN</t>
        </is>
      </c>
      <c r="E500" t="inlineStr">
        <is>
          <t>FORSHAGA</t>
        </is>
      </c>
      <c r="G500" t="n">
        <v>7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48590-2024</t>
        </is>
      </c>
      <c r="B501" s="1" t="n">
        <v>45593</v>
      </c>
      <c r="C501" s="1" t="n">
        <v>45666</v>
      </c>
      <c r="D501" t="inlineStr">
        <is>
          <t>VÄRMLANDS LÄN</t>
        </is>
      </c>
      <c r="E501" t="inlineStr">
        <is>
          <t>FORSHAGA</t>
        </is>
      </c>
      <c r="F501" t="inlineStr">
        <is>
          <t>Bergvik skog väst AB</t>
        </is>
      </c>
      <c r="G501" t="n">
        <v>7.9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48630-2024</t>
        </is>
      </c>
      <c r="B502" s="1" t="n">
        <v>45593</v>
      </c>
      <c r="C502" s="1" t="n">
        <v>45666</v>
      </c>
      <c r="D502" t="inlineStr">
        <is>
          <t>VÄRMLANDS LÄN</t>
        </is>
      </c>
      <c r="E502" t="inlineStr">
        <is>
          <t>FORSHAGA</t>
        </is>
      </c>
      <c r="G502" t="n">
        <v>7.5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48647-2024</t>
        </is>
      </c>
      <c r="B503" s="1" t="n">
        <v>45593</v>
      </c>
      <c r="C503" s="1" t="n">
        <v>45666</v>
      </c>
      <c r="D503" t="inlineStr">
        <is>
          <t>VÄRMLANDS LÄN</t>
        </is>
      </c>
      <c r="E503" t="inlineStr">
        <is>
          <t>FORSHAGA</t>
        </is>
      </c>
      <c r="G503" t="n">
        <v>2.2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49416-2024</t>
        </is>
      </c>
      <c r="B504" s="1" t="n">
        <v>45595</v>
      </c>
      <c r="C504" s="1" t="n">
        <v>45666</v>
      </c>
      <c r="D504" t="inlineStr">
        <is>
          <t>VÄRMLANDS LÄN</t>
        </is>
      </c>
      <c r="E504" t="inlineStr">
        <is>
          <t>FORSHAGA</t>
        </is>
      </c>
      <c r="G504" t="n">
        <v>2.2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50055-2024</t>
        </is>
      </c>
      <c r="B505" s="1" t="n">
        <v>45600</v>
      </c>
      <c r="C505" s="1" t="n">
        <v>45666</v>
      </c>
      <c r="D505" t="inlineStr">
        <is>
          <t>VÄRMLANDS LÄN</t>
        </is>
      </c>
      <c r="E505" t="inlineStr">
        <is>
          <t>FORSHAGA</t>
        </is>
      </c>
      <c r="G505" t="n">
        <v>2.6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50092-2024</t>
        </is>
      </c>
      <c r="B506" s="1" t="n">
        <v>45600</v>
      </c>
      <c r="C506" s="1" t="n">
        <v>45666</v>
      </c>
      <c r="D506" t="inlineStr">
        <is>
          <t>VÄRMLANDS LÄN</t>
        </is>
      </c>
      <c r="E506" t="inlineStr">
        <is>
          <t>FORSHAGA</t>
        </is>
      </c>
      <c r="F506" t="inlineStr">
        <is>
          <t>Bergvik skog väst AB</t>
        </is>
      </c>
      <c r="G506" t="n">
        <v>5.4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50367-2024</t>
        </is>
      </c>
      <c r="B507" s="1" t="n">
        <v>45600</v>
      </c>
      <c r="C507" s="1" t="n">
        <v>45666</v>
      </c>
      <c r="D507" t="inlineStr">
        <is>
          <t>VÄRMLANDS LÄN</t>
        </is>
      </c>
      <c r="E507" t="inlineStr">
        <is>
          <t>FORSHAGA</t>
        </is>
      </c>
      <c r="G507" t="n">
        <v>2.5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50368-2024</t>
        </is>
      </c>
      <c r="B508" s="1" t="n">
        <v>45600</v>
      </c>
      <c r="C508" s="1" t="n">
        <v>45666</v>
      </c>
      <c r="D508" t="inlineStr">
        <is>
          <t>VÄRMLANDS LÄN</t>
        </is>
      </c>
      <c r="E508" t="inlineStr">
        <is>
          <t>FORSHAGA</t>
        </is>
      </c>
      <c r="G508" t="n">
        <v>1.2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51502-2024</t>
        </is>
      </c>
      <c r="B509" s="1" t="n">
        <v>45604</v>
      </c>
      <c r="C509" s="1" t="n">
        <v>45666</v>
      </c>
      <c r="D509" t="inlineStr">
        <is>
          <t>VÄRMLANDS LÄN</t>
        </is>
      </c>
      <c r="E509" t="inlineStr">
        <is>
          <t>FORSHAGA</t>
        </is>
      </c>
      <c r="G509" t="n">
        <v>1.9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53596-2024</t>
        </is>
      </c>
      <c r="B510" s="1" t="n">
        <v>45614</v>
      </c>
      <c r="C510" s="1" t="n">
        <v>45666</v>
      </c>
      <c r="D510" t="inlineStr">
        <is>
          <t>VÄRMLANDS LÄN</t>
        </is>
      </c>
      <c r="E510" t="inlineStr">
        <is>
          <t>FORSHAGA</t>
        </is>
      </c>
      <c r="G510" t="n">
        <v>1.4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53585-2024</t>
        </is>
      </c>
      <c r="B511" s="1" t="n">
        <v>45614</v>
      </c>
      <c r="C511" s="1" t="n">
        <v>45666</v>
      </c>
      <c r="D511" t="inlineStr">
        <is>
          <t>VÄRMLANDS LÄN</t>
        </is>
      </c>
      <c r="E511" t="inlineStr">
        <is>
          <t>FORSHAGA</t>
        </is>
      </c>
      <c r="G511" t="n">
        <v>1.3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53573-2024</t>
        </is>
      </c>
      <c r="B512" s="1" t="n">
        <v>45614</v>
      </c>
      <c r="C512" s="1" t="n">
        <v>45666</v>
      </c>
      <c r="D512" t="inlineStr">
        <is>
          <t>VÄRMLANDS LÄN</t>
        </is>
      </c>
      <c r="E512" t="inlineStr">
        <is>
          <t>FORSHAGA</t>
        </is>
      </c>
      <c r="G512" t="n">
        <v>1.3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53538-2024</t>
        </is>
      </c>
      <c r="B513" s="1" t="n">
        <v>45614</v>
      </c>
      <c r="C513" s="1" t="n">
        <v>45666</v>
      </c>
      <c r="D513" t="inlineStr">
        <is>
          <t>VÄRMLANDS LÄN</t>
        </is>
      </c>
      <c r="E513" t="inlineStr">
        <is>
          <t>FORSHAGA</t>
        </is>
      </c>
      <c r="G513" t="n">
        <v>1.5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54305-2024</t>
        </is>
      </c>
      <c r="B514" s="1" t="n">
        <v>45617</v>
      </c>
      <c r="C514" s="1" t="n">
        <v>45666</v>
      </c>
      <c r="D514" t="inlineStr">
        <is>
          <t>VÄRMLANDS LÄN</t>
        </is>
      </c>
      <c r="E514" t="inlineStr">
        <is>
          <t>FORSHAGA</t>
        </is>
      </c>
      <c r="G514" t="n">
        <v>3.4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54692-2024</t>
        </is>
      </c>
      <c r="B515" s="1" t="n">
        <v>45618</v>
      </c>
      <c r="C515" s="1" t="n">
        <v>45666</v>
      </c>
      <c r="D515" t="inlineStr">
        <is>
          <t>VÄRMLANDS LÄN</t>
        </is>
      </c>
      <c r="E515" t="inlineStr">
        <is>
          <t>FORSHAGA</t>
        </is>
      </c>
      <c r="G515" t="n">
        <v>1.2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55835-2024</t>
        </is>
      </c>
      <c r="B516" s="1" t="n">
        <v>45623</v>
      </c>
      <c r="C516" s="1" t="n">
        <v>45666</v>
      </c>
      <c r="D516" t="inlineStr">
        <is>
          <t>VÄRMLANDS LÄN</t>
        </is>
      </c>
      <c r="E516" t="inlineStr">
        <is>
          <t>FORSHAGA</t>
        </is>
      </c>
      <c r="G516" t="n">
        <v>0.9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56005-2024</t>
        </is>
      </c>
      <c r="B517" s="1" t="n">
        <v>45623</v>
      </c>
      <c r="C517" s="1" t="n">
        <v>45666</v>
      </c>
      <c r="D517" t="inlineStr">
        <is>
          <t>VÄRMLANDS LÄN</t>
        </is>
      </c>
      <c r="E517" t="inlineStr">
        <is>
          <t>FORSHAGA</t>
        </is>
      </c>
      <c r="G517" t="n">
        <v>1.3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58121-2024</t>
        </is>
      </c>
      <c r="B518" s="1" t="n">
        <v>45632</v>
      </c>
      <c r="C518" s="1" t="n">
        <v>45666</v>
      </c>
      <c r="D518" t="inlineStr">
        <is>
          <t>VÄRMLANDS LÄN</t>
        </is>
      </c>
      <c r="E518" t="inlineStr">
        <is>
          <t>FORSHAGA</t>
        </is>
      </c>
      <c r="G518" t="n">
        <v>0.9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58114-2024</t>
        </is>
      </c>
      <c r="B519" s="1" t="n">
        <v>45632</v>
      </c>
      <c r="C519" s="1" t="n">
        <v>45666</v>
      </c>
      <c r="D519" t="inlineStr">
        <is>
          <t>VÄRMLANDS LÄN</t>
        </is>
      </c>
      <c r="E519" t="inlineStr">
        <is>
          <t>FORSHAGA</t>
        </is>
      </c>
      <c r="G519" t="n">
        <v>5.1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58245-2024</t>
        </is>
      </c>
      <c r="B520" s="1" t="n">
        <v>45632</v>
      </c>
      <c r="C520" s="1" t="n">
        <v>45666</v>
      </c>
      <c r="D520" t="inlineStr">
        <is>
          <t>VÄRMLANDS LÄN</t>
        </is>
      </c>
      <c r="E520" t="inlineStr">
        <is>
          <t>FORSHAGA</t>
        </is>
      </c>
      <c r="G520" t="n">
        <v>2.2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58492-2024</t>
        </is>
      </c>
      <c r="B521" s="1" t="n">
        <v>45635</v>
      </c>
      <c r="C521" s="1" t="n">
        <v>45666</v>
      </c>
      <c r="D521" t="inlineStr">
        <is>
          <t>VÄRMLANDS LÄN</t>
        </is>
      </c>
      <c r="E521" t="inlineStr">
        <is>
          <t>FORSHAGA</t>
        </is>
      </c>
      <c r="G521" t="n">
        <v>1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58447-2024</t>
        </is>
      </c>
      <c r="B522" s="1" t="n">
        <v>45635</v>
      </c>
      <c r="C522" s="1" t="n">
        <v>45666</v>
      </c>
      <c r="D522" t="inlineStr">
        <is>
          <t>VÄRMLANDS LÄN</t>
        </is>
      </c>
      <c r="E522" t="inlineStr">
        <is>
          <t>FORSHAGA</t>
        </is>
      </c>
      <c r="G522" t="n">
        <v>2.2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58451-2024</t>
        </is>
      </c>
      <c r="B523" s="1" t="n">
        <v>45635</v>
      </c>
      <c r="C523" s="1" t="n">
        <v>45666</v>
      </c>
      <c r="D523" t="inlineStr">
        <is>
          <t>VÄRMLANDS LÄN</t>
        </is>
      </c>
      <c r="E523" t="inlineStr">
        <is>
          <t>FORSHAGA</t>
        </is>
      </c>
      <c r="G523" t="n">
        <v>1.1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58868-2024</t>
        </is>
      </c>
      <c r="B524" s="1" t="n">
        <v>45636</v>
      </c>
      <c r="C524" s="1" t="n">
        <v>45666</v>
      </c>
      <c r="D524" t="inlineStr">
        <is>
          <t>VÄRMLANDS LÄN</t>
        </is>
      </c>
      <c r="E524" t="inlineStr">
        <is>
          <t>FORSHAGA</t>
        </is>
      </c>
      <c r="F524" t="inlineStr">
        <is>
          <t>Bergvik skog väst AB</t>
        </is>
      </c>
      <c r="G524" t="n">
        <v>1.5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>
      <c r="A525" t="inlineStr">
        <is>
          <t>A 59624-2024</t>
        </is>
      </c>
      <c r="B525" s="1" t="n">
        <v>45638</v>
      </c>
      <c r="C525" s="1" t="n">
        <v>45666</v>
      </c>
      <c r="D525" t="inlineStr">
        <is>
          <t>VÄRMLANDS LÄN</t>
        </is>
      </c>
      <c r="E525" t="inlineStr">
        <is>
          <t>FORSHAGA</t>
        </is>
      </c>
      <c r="G525" t="n">
        <v>2.7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2025-01-09T16:10:33Z</dcterms:created>
  <dcterms:modified xmlns:dcterms="http://purl.org/dc/terms/" xmlns:xsi="http://www.w3.org/2001/XMLSchema-instance" xsi:type="dcterms:W3CDTF">2025-01-09T16:10:33Z</dcterms:modified>
</cp:coreProperties>
</file>