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54692-2024</t>
        </is>
      </c>
      <c r="B2" t="inlineStr">
        <is>
          <t>avverkningsanmälan</t>
        </is>
      </c>
      <c r="C2" t="inlineStr">
        <is>
          <t>Föryngringsavverkning</t>
        </is>
      </c>
      <c r="D2" s="1" t="n">
        <v>45618</v>
      </c>
      <c r="E2" s="1" t="n">
        <v>46223</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X2">
        <f>HYPERLINK("https://klasma.github.io/Logging_1763/kartor_geotiff/A 54692-2024 georefererad karta.tif", "A 54692-2024")</f>
        <v/>
      </c>
      <c r="Z2">
        <f>HYPERLINK("https://klasma.github.io/Logging_1763/klagomål/A 54692-2024 FSC-klagomål.docx", "A 54692-2024")</f>
        <v/>
      </c>
      <c r="AA2">
        <f>HYPERLINK("https://klasma.github.io/Logging_1763/klagomålsmail/A 54692-2024 FSC-klagomål mail.docx", "A 54692-2024")</f>
        <v/>
      </c>
      <c r="AB2">
        <f>HYPERLINK("https://klasma.github.io/Logging_1763/tillsyn/A 54692-2024 tillsynsbegäran.docx", "A 54692-2024")</f>
        <v/>
      </c>
      <c r="AC2">
        <f>HYPERLINK("https://klasma.github.io/Logging_1763/tillsynsmail/A 54692-2024 tillsynsbegäran mail.docx", "A 54692-2024")</f>
        <v/>
      </c>
      <c r="AD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46223</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X3">
        <f>HYPERLINK("https://klasma.github.io/Logging_1763/kartor_geotiff/A 51072-2021 georefererad karta.tif", "A 51072-2021")</f>
        <v/>
      </c>
      <c r="Z3">
        <f>HYPERLINK("https://klasma.github.io/Logging_1763/klagomål/A 51072-2021 FSC-klagomål.docx", "A 51072-2021")</f>
        <v/>
      </c>
      <c r="AA3">
        <f>HYPERLINK("https://klasma.github.io/Logging_1763/klagomålsmail/A 51072-2021 FSC-klagomål mail.docx", "A 51072-2021")</f>
        <v/>
      </c>
      <c r="AB3">
        <f>HYPERLINK("https://klasma.github.io/Logging_1763/tillsyn/A 51072-2021 tillsynsbegäran.docx", "A 51072-2021")</f>
        <v/>
      </c>
      <c r="AC3">
        <f>HYPERLINK("https://klasma.github.io/Logging_1763/tillsynsmail/A 51072-2021 tillsynsbegäran mail.docx", "A 51072-2021")</f>
        <v/>
      </c>
      <c r="AD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46223</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s="2" t="inlineStr">
        <is>
          <t>Dofttaggsvamp
Fjällig taggsvamp s.str.
Ullticka
Blåsippa</t>
        </is>
      </c>
      <c r="V4">
        <f>HYPERLINK("https://klasma.github.io/Logging_1763/artfynd/A 34758-2024 artfynd.xlsx", "A 34758-2024")</f>
        <v/>
      </c>
      <c r="W4">
        <f>HYPERLINK("https://klasma.github.io/Logging_1763/kartor/A 34758-2024 karta.png", "A 34758-2024")</f>
        <v/>
      </c>
      <c r="X4">
        <f>HYPERLINK("https://klasma.github.io/Logging_1763/kartor_geotiff/A 34758-2024 georefererad karta.tif", "A 34758-2024")</f>
        <v/>
      </c>
      <c r="Z4">
        <f>HYPERLINK("https://klasma.github.io/Logging_1763/klagomål/A 34758-2024 FSC-klagomål.docx", "A 34758-2024")</f>
        <v/>
      </c>
      <c r="AA4">
        <f>HYPERLINK("https://klasma.github.io/Logging_1763/klagomålsmail/A 34758-2024 FSC-klagomål mail.docx", "A 34758-2024")</f>
        <v/>
      </c>
      <c r="AB4">
        <f>HYPERLINK("https://klasma.github.io/Logging_1763/tillsyn/A 34758-2024 tillsynsbegäran.docx", "A 34758-2024")</f>
        <v/>
      </c>
      <c r="AC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46223</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s="2" t="inlineStr">
        <is>
          <t>Blackticka
Fjällig taggsvamp s.str.
Brandticka
Mörk husmossa</t>
        </is>
      </c>
      <c r="V5">
        <f>HYPERLINK("https://klasma.github.io/Logging_1763/artfynd/A 18094-2026 artfynd.xlsx", "A 18094-2026")</f>
        <v/>
      </c>
      <c r="W5">
        <f>HYPERLINK("https://klasma.github.io/Logging_1763/kartor/A 18094-2026 karta.png", "A 18094-2026")</f>
        <v/>
      </c>
      <c r="X5">
        <f>HYPERLINK("https://klasma.github.io/Logging_1763/kartor_geotiff/A 18094-2026 georefererad karta.tif", "A 18094-2026")</f>
        <v/>
      </c>
      <c r="Z5">
        <f>HYPERLINK("https://klasma.github.io/Logging_1763/klagomål/A 18094-2026 FSC-klagomål.docx", "A 18094-2026")</f>
        <v/>
      </c>
      <c r="AA5">
        <f>HYPERLINK("https://klasma.github.io/Logging_1763/klagomålsmail/A 18094-2026 FSC-klagomål mail.docx", "A 18094-2026")</f>
        <v/>
      </c>
      <c r="AB5">
        <f>HYPERLINK("https://klasma.github.io/Logging_1763/tillsyn/A 18094-2026 tillsynsbegäran.docx", "A 18094-2026")</f>
        <v/>
      </c>
      <c r="AC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46223</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s="2" t="inlineStr">
        <is>
          <t>Gullklöver
Skogsklocka
Svart trolldruva
Blåsippa</t>
        </is>
      </c>
      <c r="V6">
        <f>HYPERLINK("https://klasma.github.io/Logging_1763/artfynd/A 66072-2021 artfynd.xlsx", "A 66072-2021")</f>
        <v/>
      </c>
      <c r="W6">
        <f>HYPERLINK("https://klasma.github.io/Logging_1763/kartor/A 66072-2021 karta.png", "A 66072-2021")</f>
        <v/>
      </c>
      <c r="X6">
        <f>HYPERLINK("https://klasma.github.io/Logging_1763/kartor_geotiff/A 66072-2021 georefererad karta.tif", "A 66072-2021")</f>
        <v/>
      </c>
      <c r="Z6">
        <f>HYPERLINK("https://klasma.github.io/Logging_1763/klagomål/A 66072-2021 FSC-klagomål.docx", "A 66072-2021")</f>
        <v/>
      </c>
      <c r="AA6">
        <f>HYPERLINK("https://klasma.github.io/Logging_1763/klagomålsmail/A 66072-2021 FSC-klagomål mail.docx", "A 66072-2021")</f>
        <v/>
      </c>
      <c r="AB6">
        <f>HYPERLINK("https://klasma.github.io/Logging_1763/tillsyn/A 66072-2021 tillsynsbegäran.docx", "A 66072-2021")</f>
        <v/>
      </c>
      <c r="AC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46223</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X7">
        <f>HYPERLINK("https://klasma.github.io/Logging_1763/kartor_geotiff/A 72989-2021 georefererad karta.tif", "A 72989-2021")</f>
        <v/>
      </c>
      <c r="Z7">
        <f>HYPERLINK("https://klasma.github.io/Logging_1763/klagomål/A 72989-2021 FSC-klagomål.docx", "A 72989-2021")</f>
        <v/>
      </c>
      <c r="AA7">
        <f>HYPERLINK("https://klasma.github.io/Logging_1763/klagomålsmail/A 72989-2021 FSC-klagomål mail.docx", "A 72989-2021")</f>
        <v/>
      </c>
      <c r="AB7">
        <f>HYPERLINK("https://klasma.github.io/Logging_1763/tillsyn/A 72989-2021 tillsynsbegäran.docx", "A 72989-2021")</f>
        <v/>
      </c>
      <c r="AC7">
        <f>HYPERLINK("https://klasma.github.io/Logging_1763/tillsynsmail/A 72989-2021 tillsynsbegäran mail.docx", "A 72989-2021")</f>
        <v/>
      </c>
      <c r="AD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46223</v>
      </c>
      <c r="F8" t="inlineStr">
        <is>
          <t>VÄRMLANDS LÄN</t>
        </is>
      </c>
      <c r="G8" t="inlineStr">
        <is>
          <t>FORSHAGA</t>
        </is>
      </c>
      <c r="I8" t="n">
        <v>4.2</v>
      </c>
      <c r="J8" t="n">
        <v>2</v>
      </c>
      <c r="K8" t="n">
        <v>2</v>
      </c>
      <c r="L8" t="n">
        <v>0</v>
      </c>
      <c r="M8" t="n">
        <v>0</v>
      </c>
      <c r="N8" t="n">
        <v>0</v>
      </c>
      <c r="O8" t="n">
        <v>0</v>
      </c>
      <c r="P8" t="n">
        <v>0</v>
      </c>
      <c r="Q8" t="n">
        <v>0</v>
      </c>
      <c r="R8" t="n">
        <v>0</v>
      </c>
      <c r="S8" t="n">
        <v>3</v>
      </c>
      <c r="T8" t="n">
        <v>3</v>
      </c>
      <c r="U8" s="2" t="inlineStr">
        <is>
          <t>Nästrot
Svart trolldruva
Blåsippa</t>
        </is>
      </c>
      <c r="V8">
        <f>HYPERLINK("https://klasma.github.io/Logging_1763/artfynd/A 5766-2026 artfynd.xlsx", "A 5766-2026")</f>
        <v/>
      </c>
      <c r="W8">
        <f>HYPERLINK("https://klasma.github.io/Logging_1763/kartor/A 5766-2026 karta.png", "A 5766-2026")</f>
        <v/>
      </c>
      <c r="X8">
        <f>HYPERLINK("https://klasma.github.io/Logging_1763/kartor_geotiff/A 5766-2026 georefererad karta.tif", "A 5766-2026")</f>
        <v/>
      </c>
      <c r="Z8">
        <f>HYPERLINK("https://klasma.github.io/Logging_1763/klagomål/A 5766-2026 FSC-klagomål.docx", "A 5766-2026")</f>
        <v/>
      </c>
      <c r="AA8">
        <f>HYPERLINK("https://klasma.github.io/Logging_1763/klagomålsmail/A 5766-2026 FSC-klagomål mail.docx", "A 5766-2026")</f>
        <v/>
      </c>
      <c r="AB8">
        <f>HYPERLINK("https://klasma.github.io/Logging_1763/tillsyn/A 5766-2026 tillsynsbegäran.docx", "A 5766-2026")</f>
        <v/>
      </c>
      <c r="AC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46223</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s="2" t="inlineStr">
        <is>
          <t>Blåtryffel
Svart trolldruva
Blåsippa</t>
        </is>
      </c>
      <c r="V9">
        <f>HYPERLINK("https://klasma.github.io/Logging_1763/artfynd/A 63799-2023 artfynd.xlsx", "A 63799-2023")</f>
        <v/>
      </c>
      <c r="W9">
        <f>HYPERLINK("https://klasma.github.io/Logging_1763/kartor/A 63799-2023 karta.png", "A 63799-2023")</f>
        <v/>
      </c>
      <c r="X9">
        <f>HYPERLINK("https://klasma.github.io/Logging_1763/kartor_geotiff/A 63799-2023 georefererad karta.tif", "A 63799-2023")</f>
        <v/>
      </c>
      <c r="Z9">
        <f>HYPERLINK("https://klasma.github.io/Logging_1763/klagomål/A 63799-2023 FSC-klagomål.docx", "A 63799-2023")</f>
        <v/>
      </c>
      <c r="AA9">
        <f>HYPERLINK("https://klasma.github.io/Logging_1763/klagomålsmail/A 63799-2023 FSC-klagomål mail.docx", "A 63799-2023")</f>
        <v/>
      </c>
      <c r="AB9">
        <f>HYPERLINK("https://klasma.github.io/Logging_1763/tillsyn/A 63799-2023 tillsynsbegäran.docx", "A 63799-2023")</f>
        <v/>
      </c>
      <c r="AC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46223</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X10">
        <f>HYPERLINK("https://klasma.github.io/Logging_1763/kartor_geotiff/A 12854-2026 georefererad karta.tif", "A 12854-2026")</f>
        <v/>
      </c>
      <c r="Z10">
        <f>HYPERLINK("https://klasma.github.io/Logging_1763/klagomål/A 12854-2026 FSC-klagomål.docx", "A 12854-2026")</f>
        <v/>
      </c>
      <c r="AA10">
        <f>HYPERLINK("https://klasma.github.io/Logging_1763/klagomålsmail/A 12854-2026 FSC-klagomål mail.docx", "A 12854-2026")</f>
        <v/>
      </c>
      <c r="AB10">
        <f>HYPERLINK("https://klasma.github.io/Logging_1763/tillsyn/A 12854-2026 tillsynsbegäran.docx", "A 12854-2026")</f>
        <v/>
      </c>
      <c r="AC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46223</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s="2" t="inlineStr">
        <is>
          <t>Gransotdyna
Mörk husmossa
Blåsippa</t>
        </is>
      </c>
      <c r="V11">
        <f>HYPERLINK("https://klasma.github.io/Logging_1763/artfynd/A 18103-2026 artfynd.xlsx", "A 18103-2026")</f>
        <v/>
      </c>
      <c r="W11">
        <f>HYPERLINK("https://klasma.github.io/Logging_1763/kartor/A 18103-2026 karta.png", "A 18103-2026")</f>
        <v/>
      </c>
      <c r="X11">
        <f>HYPERLINK("https://klasma.github.io/Logging_1763/kartor_geotiff/A 18103-2026 georefererad karta.tif", "A 18103-2026")</f>
        <v/>
      </c>
      <c r="Z11">
        <f>HYPERLINK("https://klasma.github.io/Logging_1763/klagomål/A 18103-2026 FSC-klagomål.docx", "A 18103-2026")</f>
        <v/>
      </c>
      <c r="AA11">
        <f>HYPERLINK("https://klasma.github.io/Logging_1763/klagomålsmail/A 18103-2026 FSC-klagomål mail.docx", "A 18103-2026")</f>
        <v/>
      </c>
      <c r="AB11">
        <f>HYPERLINK("https://klasma.github.io/Logging_1763/tillsyn/A 18103-2026 tillsynsbegäran.docx", "A 18103-2026")</f>
        <v/>
      </c>
      <c r="AC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46223</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s="2" t="inlineStr">
        <is>
          <t>Brunfläckig pärlemorfjäril
Göktyta
Sotnätfjäril</t>
        </is>
      </c>
      <c r="V12">
        <f>HYPERLINK("https://klasma.github.io/Logging_1763/artfynd/A 14114-2022 artfynd.xlsx", "A 14114-2022")</f>
        <v/>
      </c>
      <c r="W12">
        <f>HYPERLINK("https://klasma.github.io/Logging_1763/kartor/A 14114-2022 karta.png", "A 14114-2022")</f>
        <v/>
      </c>
      <c r="X12">
        <f>HYPERLINK("https://klasma.github.io/Logging_1763/kartor_geotiff/A 14114-2022 georefererad karta.tif", "A 14114-2022")</f>
        <v/>
      </c>
      <c r="Z12">
        <f>HYPERLINK("https://klasma.github.io/Logging_1763/klagomål/A 14114-2022 FSC-klagomål.docx", "A 14114-2022")</f>
        <v/>
      </c>
      <c r="AA12">
        <f>HYPERLINK("https://klasma.github.io/Logging_1763/klagomålsmail/A 14114-2022 FSC-klagomål mail.docx", "A 14114-2022")</f>
        <v/>
      </c>
      <c r="AB12">
        <f>HYPERLINK("https://klasma.github.io/Logging_1763/tillsyn/A 14114-2022 tillsynsbegäran.docx", "A 14114-2022")</f>
        <v/>
      </c>
      <c r="AC12">
        <f>HYPERLINK("https://klasma.github.io/Logging_1763/tillsynsmail/A 14114-2022 tillsynsbegäran mail.docx", "A 14114-2022")</f>
        <v/>
      </c>
      <c r="AD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46223</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X13">
        <f>HYPERLINK("https://klasma.github.io/Logging_1763/kartor_geotiff/A 25020-2026 georefererad karta.tif", "A 25020-2026")</f>
        <v/>
      </c>
      <c r="Z13">
        <f>HYPERLINK("https://klasma.github.io/Logging_1763/klagomål/A 25020-2026 FSC-klagomål.docx", "A 25020-2026")</f>
        <v/>
      </c>
      <c r="AA13">
        <f>HYPERLINK("https://klasma.github.io/Logging_1763/klagomålsmail/A 25020-2026 FSC-klagomål mail.docx", "A 25020-2026")</f>
        <v/>
      </c>
      <c r="AB13">
        <f>HYPERLINK("https://klasma.github.io/Logging_1763/tillsyn/A 25020-2026 tillsynsbegäran.docx", "A 25020-2026")</f>
        <v/>
      </c>
      <c r="AC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46223</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X14">
        <f>HYPERLINK("https://klasma.github.io/Logging_1763/kartor_geotiff/A 56532-2021 georefererad karta.tif", "A 56532-2021")</f>
        <v/>
      </c>
      <c r="Z14">
        <f>HYPERLINK("https://klasma.github.io/Logging_1763/klagomål/A 56532-2021 FSC-klagomål.docx", "A 56532-2021")</f>
        <v/>
      </c>
      <c r="AA14">
        <f>HYPERLINK("https://klasma.github.io/Logging_1763/klagomålsmail/A 56532-2021 FSC-klagomål mail.docx", "A 56532-2021")</f>
        <v/>
      </c>
      <c r="AB14">
        <f>HYPERLINK("https://klasma.github.io/Logging_1763/tillsyn/A 56532-2021 tillsynsbegäran.docx", "A 56532-2021")</f>
        <v/>
      </c>
      <c r="AC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46223</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X15">
        <f>HYPERLINK("https://klasma.github.io/Logging_1763/kartor_geotiff/A 6294-2022 georefererad karta.tif", "A 6294-2022")</f>
        <v/>
      </c>
      <c r="Z15">
        <f>HYPERLINK("https://klasma.github.io/Logging_1763/klagomål/A 6294-2022 FSC-klagomål.docx", "A 6294-2022")</f>
        <v/>
      </c>
      <c r="AA15">
        <f>HYPERLINK("https://klasma.github.io/Logging_1763/klagomålsmail/A 6294-2022 FSC-klagomål mail.docx", "A 6294-2022")</f>
        <v/>
      </c>
      <c r="AB15">
        <f>HYPERLINK("https://klasma.github.io/Logging_1763/tillsyn/A 6294-2022 tillsynsbegäran.docx", "A 6294-2022")</f>
        <v/>
      </c>
      <c r="AC15">
        <f>HYPERLINK("https://klasma.github.io/Logging_1763/tillsynsmail/A 6294-2022 tillsynsbegäran mail.docx", "A 6294-2022")</f>
        <v/>
      </c>
      <c r="AD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46223</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X16">
        <f>HYPERLINK("https://klasma.github.io/Logging_1763/kartor_geotiff/A 54189-2021 georefererad karta.tif", "A 54189-2021")</f>
        <v/>
      </c>
      <c r="Z16">
        <f>HYPERLINK("https://klasma.github.io/Logging_1763/klagomål/A 54189-2021 FSC-klagomål.docx", "A 54189-2021")</f>
        <v/>
      </c>
      <c r="AA16">
        <f>HYPERLINK("https://klasma.github.io/Logging_1763/klagomålsmail/A 54189-2021 FSC-klagomål mail.docx", "A 54189-2021")</f>
        <v/>
      </c>
      <c r="AB16">
        <f>HYPERLINK("https://klasma.github.io/Logging_1763/tillsyn/A 54189-2021 tillsynsbegäran.docx", "A 54189-2021")</f>
        <v/>
      </c>
      <c r="AC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46223</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s="2" t="inlineStr">
        <is>
          <t>Blåsippa</t>
        </is>
      </c>
      <c r="V17">
        <f>HYPERLINK("https://klasma.github.io/Logging_1763/artfynd/A 67321-2021 artfynd.xlsx", "A 67321-2021")</f>
        <v/>
      </c>
      <c r="W17">
        <f>HYPERLINK("https://klasma.github.io/Logging_1763/kartor/A 67321-2021 karta.png", "A 67321-2021")</f>
        <v/>
      </c>
      <c r="X17">
        <f>HYPERLINK("https://klasma.github.io/Logging_1763/kartor_geotiff/A 67321-2021 georefererad karta.tif", "A 67321-2021")</f>
        <v/>
      </c>
      <c r="Z17">
        <f>HYPERLINK("https://klasma.github.io/Logging_1763/klagomål/A 67321-2021 FSC-klagomål.docx", "A 67321-2021")</f>
        <v/>
      </c>
      <c r="AA17">
        <f>HYPERLINK("https://klasma.github.io/Logging_1763/klagomålsmail/A 67321-2021 FSC-klagomål mail.docx", "A 67321-2021")</f>
        <v/>
      </c>
      <c r="AB17">
        <f>HYPERLINK("https://klasma.github.io/Logging_1763/tillsyn/A 67321-2021 tillsynsbegäran.docx", "A 67321-2021")</f>
        <v/>
      </c>
      <c r="AC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46223</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s="2" t="inlineStr">
        <is>
          <t>Fläcknycklar</t>
        </is>
      </c>
      <c r="V18">
        <f>HYPERLINK("https://klasma.github.io/Logging_1763/artfynd/A 35573-2023 artfynd.xlsx", "A 35573-2023")</f>
        <v/>
      </c>
      <c r="W18">
        <f>HYPERLINK("https://klasma.github.io/Logging_1763/kartor/A 35573-2023 karta.png", "A 35573-2023")</f>
        <v/>
      </c>
      <c r="X18">
        <f>HYPERLINK("https://klasma.github.io/Logging_1763/kartor_geotiff/A 35573-2023 georefererad karta.tif", "A 35573-2023")</f>
        <v/>
      </c>
      <c r="Z18">
        <f>HYPERLINK("https://klasma.github.io/Logging_1763/klagomål/A 35573-2023 FSC-klagomål.docx", "A 35573-2023")</f>
        <v/>
      </c>
      <c r="AA18">
        <f>HYPERLINK("https://klasma.github.io/Logging_1763/klagomålsmail/A 35573-2023 FSC-klagomål mail.docx", "A 35573-2023")</f>
        <v/>
      </c>
      <c r="AB18">
        <f>HYPERLINK("https://klasma.github.io/Logging_1763/tillsyn/A 35573-2023 tillsynsbegäran.docx", "A 35573-2023")</f>
        <v/>
      </c>
      <c r="AC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46223</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s="2" t="inlineStr">
        <is>
          <t>Gullpudra</t>
        </is>
      </c>
      <c r="V19">
        <f>HYPERLINK("https://klasma.github.io/Logging_1763/artfynd/A 53706-2022 artfynd.xlsx", "A 53706-2022")</f>
        <v/>
      </c>
      <c r="W19">
        <f>HYPERLINK("https://klasma.github.io/Logging_1763/kartor/A 53706-2022 karta.png", "A 53706-2022")</f>
        <v/>
      </c>
      <c r="X19">
        <f>HYPERLINK("https://klasma.github.io/Logging_1763/kartor_geotiff/A 53706-2022 georefererad karta.tif", "A 53706-2022")</f>
        <v/>
      </c>
      <c r="Z19">
        <f>HYPERLINK("https://klasma.github.io/Logging_1763/klagomål/A 53706-2022 FSC-klagomål.docx", "A 53706-2022")</f>
        <v/>
      </c>
      <c r="AA19">
        <f>HYPERLINK("https://klasma.github.io/Logging_1763/klagomålsmail/A 53706-2022 FSC-klagomål mail.docx", "A 53706-2022")</f>
        <v/>
      </c>
      <c r="AB19">
        <f>HYPERLINK("https://klasma.github.io/Logging_1763/tillsyn/A 53706-2022 tillsynsbegäran.docx", "A 53706-2022")</f>
        <v/>
      </c>
      <c r="AC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46223</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s="2" t="inlineStr">
        <is>
          <t>Springkorn</t>
        </is>
      </c>
      <c r="V20">
        <f>HYPERLINK("https://klasma.github.io/Logging_1763/artfynd/A 31980-2023 artfynd.xlsx", "A 31980-2023")</f>
        <v/>
      </c>
      <c r="W20">
        <f>HYPERLINK("https://klasma.github.io/Logging_1763/kartor/A 31980-2023 karta.png", "A 31980-2023")</f>
        <v/>
      </c>
      <c r="X20">
        <f>HYPERLINK("https://klasma.github.io/Logging_1763/kartor_geotiff/A 31980-2023 georefererad karta.tif", "A 31980-2023")</f>
        <v/>
      </c>
      <c r="Z20">
        <f>HYPERLINK("https://klasma.github.io/Logging_1763/klagomål/A 31980-2023 FSC-klagomål.docx", "A 31980-2023")</f>
        <v/>
      </c>
      <c r="AA20">
        <f>HYPERLINK("https://klasma.github.io/Logging_1763/klagomålsmail/A 31980-2023 FSC-klagomål mail.docx", "A 31980-2023")</f>
        <v/>
      </c>
      <c r="AB20">
        <f>HYPERLINK("https://klasma.github.io/Logging_1763/tillsyn/A 31980-2023 tillsynsbegäran.docx", "A 31980-2023")</f>
        <v/>
      </c>
      <c r="AC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46223</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s="2" t="inlineStr">
        <is>
          <t>Nattviol</t>
        </is>
      </c>
      <c r="V21">
        <f>HYPERLINK("https://klasma.github.io/Logging_1763/artfynd/A 35334-2024 artfynd.xlsx", "A 35334-2024")</f>
        <v/>
      </c>
      <c r="W21">
        <f>HYPERLINK("https://klasma.github.io/Logging_1763/kartor/A 35334-2024 karta.png", "A 35334-2024")</f>
        <v/>
      </c>
      <c r="X21">
        <f>HYPERLINK("https://klasma.github.io/Logging_1763/kartor_geotiff/A 35334-2024 georefererad karta.tif", "A 35334-2024")</f>
        <v/>
      </c>
      <c r="Z21">
        <f>HYPERLINK("https://klasma.github.io/Logging_1763/klagomål/A 35334-2024 FSC-klagomål.docx", "A 35334-2024")</f>
        <v/>
      </c>
      <c r="AA21">
        <f>HYPERLINK("https://klasma.github.io/Logging_1763/klagomålsmail/A 35334-2024 FSC-klagomål mail.docx", "A 35334-2024")</f>
        <v/>
      </c>
      <c r="AB21">
        <f>HYPERLINK("https://klasma.github.io/Logging_1763/tillsyn/A 35334-2024 tillsynsbegäran.docx", "A 35334-2024")</f>
        <v/>
      </c>
      <c r="AC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46223</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s="2" t="inlineStr">
        <is>
          <t>Mindre flugsnappare</t>
        </is>
      </c>
      <c r="V22">
        <f>HYPERLINK("https://klasma.github.io/Logging_1763/artfynd/A 13208-2023 artfynd.xlsx", "A 13208-2023")</f>
        <v/>
      </c>
      <c r="W22">
        <f>HYPERLINK("https://klasma.github.io/Logging_1763/kartor/A 13208-2023 karta.png", "A 13208-2023")</f>
        <v/>
      </c>
      <c r="X22">
        <f>HYPERLINK("https://klasma.github.io/Logging_1763/kartor_geotiff/A 13208-2023 georefererad karta.tif", "A 13208-2023")</f>
        <v/>
      </c>
      <c r="Z22">
        <f>HYPERLINK("https://klasma.github.io/Logging_1763/klagomål/A 13208-2023 FSC-klagomål.docx", "A 13208-2023")</f>
        <v/>
      </c>
      <c r="AA22">
        <f>HYPERLINK("https://klasma.github.io/Logging_1763/klagomålsmail/A 13208-2023 FSC-klagomål mail.docx", "A 13208-2023")</f>
        <v/>
      </c>
      <c r="AB22">
        <f>HYPERLINK("https://klasma.github.io/Logging_1763/tillsyn/A 13208-2023 tillsynsbegäran.docx", "A 13208-2023")</f>
        <v/>
      </c>
      <c r="AC22">
        <f>HYPERLINK("https://klasma.github.io/Logging_1763/tillsynsmail/A 13208-2023 tillsynsbegäran mail.docx", "A 13208-2023")</f>
        <v/>
      </c>
      <c r="AD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46223</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s="2" t="inlineStr">
        <is>
          <t>Scharlakansvårskål agg.</t>
        </is>
      </c>
      <c r="V23">
        <f>HYPERLINK("https://klasma.github.io/Logging_1763/artfynd/A 45484-2023 artfynd.xlsx", "A 45484-2023")</f>
        <v/>
      </c>
      <c r="W23">
        <f>HYPERLINK("https://klasma.github.io/Logging_1763/kartor/A 45484-2023 karta.png", "A 45484-2023")</f>
        <v/>
      </c>
      <c r="X23">
        <f>HYPERLINK("https://klasma.github.io/Logging_1763/kartor_geotiff/A 45484-2023 georefererad karta.tif", "A 45484-2023")</f>
        <v/>
      </c>
      <c r="Z23">
        <f>HYPERLINK("https://klasma.github.io/Logging_1763/klagomål/A 45484-2023 FSC-klagomål.docx", "A 45484-2023")</f>
        <v/>
      </c>
      <c r="AA23">
        <f>HYPERLINK("https://klasma.github.io/Logging_1763/klagomålsmail/A 45484-2023 FSC-klagomål mail.docx", "A 45484-2023")</f>
        <v/>
      </c>
      <c r="AB23">
        <f>HYPERLINK("https://klasma.github.io/Logging_1763/tillsyn/A 45484-2023 tillsynsbegäran.docx", "A 45484-2023")</f>
        <v/>
      </c>
      <c r="AC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46223</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s="2" t="inlineStr">
        <is>
          <t>Mindre hackspett</t>
        </is>
      </c>
      <c r="V24">
        <f>HYPERLINK("https://klasma.github.io/Logging_1763/artfynd/A 60736-2022 artfynd.xlsx", "A 60736-2022")</f>
        <v/>
      </c>
      <c r="W24">
        <f>HYPERLINK("https://klasma.github.io/Logging_1763/kartor/A 60736-2022 karta.png", "A 60736-2022")</f>
        <v/>
      </c>
      <c r="X24">
        <f>HYPERLINK("https://klasma.github.io/Logging_1763/kartor_geotiff/A 60736-2022 georefererad karta.tif", "A 60736-2022")</f>
        <v/>
      </c>
      <c r="Z24">
        <f>HYPERLINK("https://klasma.github.io/Logging_1763/klagomål/A 60736-2022 FSC-klagomål.docx", "A 60736-2022")</f>
        <v/>
      </c>
      <c r="AA24">
        <f>HYPERLINK("https://klasma.github.io/Logging_1763/klagomålsmail/A 60736-2022 FSC-klagomål mail.docx", "A 60736-2022")</f>
        <v/>
      </c>
      <c r="AB24">
        <f>HYPERLINK("https://klasma.github.io/Logging_1763/tillsyn/A 60736-2022 tillsynsbegäran.docx", "A 60736-2022")</f>
        <v/>
      </c>
      <c r="AC24">
        <f>HYPERLINK("https://klasma.github.io/Logging_1763/tillsynsmail/A 60736-2022 tillsynsbegäran mail.docx", "A 60736-2022")</f>
        <v/>
      </c>
      <c r="AD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46223</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s="2" t="inlineStr">
        <is>
          <t>Mattlummer</t>
        </is>
      </c>
      <c r="V25">
        <f>HYPERLINK("https://klasma.github.io/Logging_1763/artfynd/A 46620-2024 artfynd.xlsx", "A 46620-2024")</f>
        <v/>
      </c>
      <c r="W25">
        <f>HYPERLINK("https://klasma.github.io/Logging_1763/kartor/A 46620-2024 karta.png", "A 46620-2024")</f>
        <v/>
      </c>
      <c r="X25">
        <f>HYPERLINK("https://klasma.github.io/Logging_1763/kartor_geotiff/A 46620-2024 georefererad karta.tif", "A 46620-2024")</f>
        <v/>
      </c>
      <c r="Z25">
        <f>HYPERLINK("https://klasma.github.io/Logging_1763/klagomål/A 46620-2024 FSC-klagomål.docx", "A 46620-2024")</f>
        <v/>
      </c>
      <c r="AA25">
        <f>HYPERLINK("https://klasma.github.io/Logging_1763/klagomålsmail/A 46620-2024 FSC-klagomål mail.docx", "A 46620-2024")</f>
        <v/>
      </c>
      <c r="AB25">
        <f>HYPERLINK("https://klasma.github.io/Logging_1763/tillsyn/A 46620-2024 tillsynsbegäran.docx", "A 46620-2024")</f>
        <v/>
      </c>
      <c r="AC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46223</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X26">
        <f>HYPERLINK("https://klasma.github.io/Logging_1763/kartor_geotiff/S 107-2026 georefererad karta.tif", "S 107-2026")</f>
        <v/>
      </c>
      <c r="Z26">
        <f>HYPERLINK("https://klasma.github.io/Logging_1763/klagomål/S 107-2026 FSC-klagomål.docx", "S 107-2026")</f>
        <v/>
      </c>
      <c r="AA26">
        <f>HYPERLINK("https://klasma.github.io/Logging_1763/klagomålsmail/S 107-2026 FSC-klagomål mail.docx", "S 107-2026")</f>
        <v/>
      </c>
      <c r="AB26">
        <f>HYPERLINK("https://klasma.github.io/Logging_1763/tillsyn/S 107-2026 tillsynsbegäran.docx", "S 107-2026")</f>
        <v/>
      </c>
      <c r="AC26">
        <f>HYPERLINK("https://klasma.github.io/Logging_1763/tillsynsmail/S 107-2026 tillsynsbegäran mail.docx", "S 107-2026")</f>
        <v/>
      </c>
      <c r="AD26">
        <f>HYPERLINK("https://klasma.github.io/Logging_1763/fåglar/S 107-2026 prioriterade fågelarter.docx", "S 107-2026")</f>
        <v/>
      </c>
    </row>
    <row r="27" ht="15" customHeight="1">
      <c r="A27" t="inlineStr">
        <is>
          <t>A 39802-2021</t>
        </is>
      </c>
      <c r="B27" t="inlineStr">
        <is>
          <t>avverkningsanmälan</t>
        </is>
      </c>
      <c r="C27" t="inlineStr">
        <is>
          <t>Föryngringsavverkning</t>
        </is>
      </c>
      <c r="D27" s="1" t="n">
        <v>44417</v>
      </c>
      <c r="E27" s="1" t="n">
        <v>46223</v>
      </c>
      <c r="F27" t="inlineStr">
        <is>
          <t>VÄRMLANDS LÄN</t>
        </is>
      </c>
      <c r="G27" t="inlineStr">
        <is>
          <t>FORSHAGA</t>
        </is>
      </c>
      <c r="I27" t="n">
        <v>0.8</v>
      </c>
      <c r="J27" t="n">
        <v>0</v>
      </c>
      <c r="K27" t="n">
        <v>0</v>
      </c>
      <c r="L27" t="n">
        <v>0</v>
      </c>
      <c r="M27" t="n">
        <v>0</v>
      </c>
      <c r="N27" t="n">
        <v>0</v>
      </c>
      <c r="O27" t="n">
        <v>0</v>
      </c>
      <c r="P27" t="n">
        <v>0</v>
      </c>
      <c r="Q27" t="n">
        <v>0</v>
      </c>
      <c r="R27" t="n">
        <v>0</v>
      </c>
      <c r="S27" t="n">
        <v>0</v>
      </c>
      <c r="T27" t="n">
        <v>0</v>
      </c>
      <c r="U27" s="2" t="inlineStr"/>
    </row>
    <row r="28" ht="15" customHeight="1">
      <c r="A28" t="inlineStr">
        <is>
          <t>A 72688-2021</t>
        </is>
      </c>
      <c r="B28" t="inlineStr">
        <is>
          <t>avverkningsanmälan</t>
        </is>
      </c>
      <c r="C28" t="inlineStr">
        <is>
          <t>Föryngringsavverkning</t>
        </is>
      </c>
      <c r="D28" s="1" t="n">
        <v>44546</v>
      </c>
      <c r="E28" s="1" t="n">
        <v>46223</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46223</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46223</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46223</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46223</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46223</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46223</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46223</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46223</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46223</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46223</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46223</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46223</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46223</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46223</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46223</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46223</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29507-2022</t>
        </is>
      </c>
      <c r="B45" t="inlineStr">
        <is>
          <t>avverkningsanmälan</t>
        </is>
      </c>
      <c r="C45" t="inlineStr">
        <is>
          <t>Föryngringsavverkning</t>
        </is>
      </c>
      <c r="D45" s="1" t="n">
        <v>44753</v>
      </c>
      <c r="E45" s="1" t="n">
        <v>46223</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s="2" t="inlineStr"/>
    </row>
    <row r="46" ht="15" customHeight="1">
      <c r="A46" t="inlineStr">
        <is>
          <t>A 7830-2022</t>
        </is>
      </c>
      <c r="B46" t="inlineStr">
        <is>
          <t>avverkningsanmälan</t>
        </is>
      </c>
      <c r="C46" t="inlineStr">
        <is>
          <t>Avverkning för annat ändamål</t>
        </is>
      </c>
      <c r="D46" s="1" t="n">
        <v>44608</v>
      </c>
      <c r="E46" s="1" t="n">
        <v>46223</v>
      </c>
      <c r="F46" t="inlineStr">
        <is>
          <t>VÄRMLANDS LÄN</t>
        </is>
      </c>
      <c r="G46" t="inlineStr">
        <is>
          <t>FORSHAGA</t>
        </is>
      </c>
      <c r="I46" t="n">
        <v>1.4</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46223</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46223</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46223</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46223</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46223</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46223</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46223</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46223</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46223</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45736-2021</t>
        </is>
      </c>
      <c r="B56" t="inlineStr">
        <is>
          <t>avverkningsanmälan</t>
        </is>
      </c>
      <c r="C56" t="inlineStr">
        <is>
          <t>Föryngringsavverkning</t>
        </is>
      </c>
      <c r="D56" s="1" t="n">
        <v>44441</v>
      </c>
      <c r="E56" s="1" t="n">
        <v>46223</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s="2" t="inlineStr"/>
    </row>
    <row r="57" ht="15" customHeight="1">
      <c r="A57" t="inlineStr">
        <is>
          <t>A 45738-2021</t>
        </is>
      </c>
      <c r="B57" t="inlineStr">
        <is>
          <t>avverkningsanmälan</t>
        </is>
      </c>
      <c r="C57" t="inlineStr">
        <is>
          <t>Föryngringsavverkning</t>
        </is>
      </c>
      <c r="D57" s="1" t="n">
        <v>44441</v>
      </c>
      <c r="E57" s="1" t="n">
        <v>46223</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s="2" t="inlineStr"/>
    </row>
    <row r="58" ht="15" customHeight="1">
      <c r="A58" t="inlineStr">
        <is>
          <t>A 23020-2022</t>
        </is>
      </c>
      <c r="B58" t="inlineStr">
        <is>
          <t>avverkningsanmälan</t>
        </is>
      </c>
      <c r="C58" t="inlineStr">
        <is>
          <t>Föryngringsavverkning</t>
        </is>
      </c>
      <c r="D58" s="1" t="n">
        <v>44719</v>
      </c>
      <c r="E58" s="1" t="n">
        <v>46223</v>
      </c>
      <c r="F58" t="inlineStr">
        <is>
          <t>VÄRMLANDS LÄN</t>
        </is>
      </c>
      <c r="G58" t="inlineStr">
        <is>
          <t>FORSHAGA</t>
        </is>
      </c>
      <c r="I58" t="n">
        <v>4.3</v>
      </c>
      <c r="J58" t="n">
        <v>0</v>
      </c>
      <c r="K58" t="n">
        <v>0</v>
      </c>
      <c r="L58" t="n">
        <v>0</v>
      </c>
      <c r="M58" t="n">
        <v>0</v>
      </c>
      <c r="N58" t="n">
        <v>0</v>
      </c>
      <c r="O58" t="n">
        <v>0</v>
      </c>
      <c r="P58" t="n">
        <v>0</v>
      </c>
      <c r="Q58" t="n">
        <v>0</v>
      </c>
      <c r="R58" t="n">
        <v>0</v>
      </c>
      <c r="S58" t="n">
        <v>0</v>
      </c>
      <c r="T58" t="n">
        <v>0</v>
      </c>
      <c r="U58" s="2" t="inlineStr"/>
    </row>
    <row r="59" ht="15" customHeight="1">
      <c r="A59" t="inlineStr">
        <is>
          <t>A 73265-2021</t>
        </is>
      </c>
      <c r="B59" t="inlineStr">
        <is>
          <t>avverkningsanmälan</t>
        </is>
      </c>
      <c r="C59" t="inlineStr">
        <is>
          <t>Föryngringsavverkning</t>
        </is>
      </c>
      <c r="D59" s="1" t="n">
        <v>44550</v>
      </c>
      <c r="E59" s="1" t="n">
        <v>46223</v>
      </c>
      <c r="F59" t="inlineStr">
        <is>
          <t>VÄRMLANDS LÄN</t>
        </is>
      </c>
      <c r="G59" t="inlineStr">
        <is>
          <t>FORSHAGA</t>
        </is>
      </c>
      <c r="I59" t="n">
        <v>1.6</v>
      </c>
      <c r="J59" t="n">
        <v>0</v>
      </c>
      <c r="K59" t="n">
        <v>0</v>
      </c>
      <c r="L59" t="n">
        <v>0</v>
      </c>
      <c r="M59" t="n">
        <v>0</v>
      </c>
      <c r="N59" t="n">
        <v>0</v>
      </c>
      <c r="O59" t="n">
        <v>0</v>
      </c>
      <c r="P59" t="n">
        <v>0</v>
      </c>
      <c r="Q59" t="n">
        <v>0</v>
      </c>
      <c r="R59" t="n">
        <v>0</v>
      </c>
      <c r="S59" t="n">
        <v>0</v>
      </c>
      <c r="T59" t="n">
        <v>0</v>
      </c>
      <c r="U59" s="2" t="inlineStr"/>
    </row>
    <row r="60" ht="15" customHeight="1">
      <c r="A60" t="inlineStr">
        <is>
          <t>A 46701-2021</t>
        </is>
      </c>
      <c r="B60" t="inlineStr">
        <is>
          <t>avverkningsanmälan</t>
        </is>
      </c>
      <c r="C60" t="inlineStr">
        <is>
          <t>Föryngringsavverkning</t>
        </is>
      </c>
      <c r="D60" s="1" t="n">
        <v>44445</v>
      </c>
      <c r="E60" s="1" t="n">
        <v>46223</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s="2" t="inlineStr"/>
    </row>
    <row r="61" ht="15" customHeight="1">
      <c r="A61" t="inlineStr">
        <is>
          <t>A 72240-2021</t>
        </is>
      </c>
      <c r="B61" t="inlineStr">
        <is>
          <t>avverkningsanmälan</t>
        </is>
      </c>
      <c r="C61" t="inlineStr">
        <is>
          <t>Föryngringsavverkning</t>
        </is>
      </c>
      <c r="D61" s="1" t="n">
        <v>44544</v>
      </c>
      <c r="E61" s="1" t="n">
        <v>46223</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s="2" t="inlineStr"/>
    </row>
    <row r="62" ht="15" customHeight="1">
      <c r="A62" t="inlineStr">
        <is>
          <t>A 46530-2023</t>
        </is>
      </c>
      <c r="B62" t="inlineStr">
        <is>
          <t>avverkningsanmälan</t>
        </is>
      </c>
      <c r="C62" t="inlineStr">
        <is>
          <t>Föryngringsavverkning</t>
        </is>
      </c>
      <c r="D62" s="1" t="n">
        <v>45197</v>
      </c>
      <c r="E62" s="1" t="n">
        <v>46223</v>
      </c>
      <c r="F62" t="inlineStr">
        <is>
          <t>VÄRMLANDS LÄN</t>
        </is>
      </c>
      <c r="G62" t="inlineStr">
        <is>
          <t>FORSHAGA</t>
        </is>
      </c>
      <c r="H62" t="inlineStr">
        <is>
          <t>Bergvik skog väst AB</t>
        </is>
      </c>
      <c r="I62" t="n">
        <v>4.1</v>
      </c>
      <c r="J62" t="n">
        <v>0</v>
      </c>
      <c r="K62" t="n">
        <v>0</v>
      </c>
      <c r="L62" t="n">
        <v>0</v>
      </c>
      <c r="M62" t="n">
        <v>0</v>
      </c>
      <c r="N62" t="n">
        <v>0</v>
      </c>
      <c r="O62" t="n">
        <v>0</v>
      </c>
      <c r="P62" t="n">
        <v>0</v>
      </c>
      <c r="Q62" t="n">
        <v>0</v>
      </c>
      <c r="R62" t="n">
        <v>0</v>
      </c>
      <c r="S62" t="n">
        <v>0</v>
      </c>
      <c r="T62" t="n">
        <v>0</v>
      </c>
      <c r="U62" s="2" t="inlineStr"/>
    </row>
    <row r="63" ht="15" customHeight="1">
      <c r="A63" t="inlineStr">
        <is>
          <t>A 62802-2023</t>
        </is>
      </c>
      <c r="B63" t="inlineStr">
        <is>
          <t>avverkningsanmälan</t>
        </is>
      </c>
      <c r="C63" t="inlineStr">
        <is>
          <t>Föryngringsavverkning</t>
        </is>
      </c>
      <c r="D63" s="1" t="n">
        <v>45271</v>
      </c>
      <c r="E63" s="1" t="n">
        <v>46223</v>
      </c>
      <c r="F63" t="inlineStr">
        <is>
          <t>VÄRMLANDS LÄN</t>
        </is>
      </c>
      <c r="G63" t="inlineStr">
        <is>
          <t>FORSHAGA</t>
        </is>
      </c>
      <c r="I63" t="n">
        <v>1.5</v>
      </c>
      <c r="J63" t="n">
        <v>0</v>
      </c>
      <c r="K63" t="n">
        <v>0</v>
      </c>
      <c r="L63" t="n">
        <v>0</v>
      </c>
      <c r="M63" t="n">
        <v>0</v>
      </c>
      <c r="N63" t="n">
        <v>0</v>
      </c>
      <c r="O63" t="n">
        <v>0</v>
      </c>
      <c r="P63" t="n">
        <v>0</v>
      </c>
      <c r="Q63" t="n">
        <v>0</v>
      </c>
      <c r="R63" t="n">
        <v>0</v>
      </c>
      <c r="S63" t="n">
        <v>0</v>
      </c>
      <c r="T63" t="n">
        <v>0</v>
      </c>
      <c r="U63" s="2" t="inlineStr"/>
    </row>
    <row r="64" ht="15" customHeight="1">
      <c r="A64" t="inlineStr">
        <is>
          <t>A 10996-2025</t>
        </is>
      </c>
      <c r="B64" t="inlineStr">
        <is>
          <t>avverkningsanmälan</t>
        </is>
      </c>
      <c r="C64" t="inlineStr">
        <is>
          <t>Föryngringsavverkning</t>
        </is>
      </c>
      <c r="D64" s="1" t="n">
        <v>45723</v>
      </c>
      <c r="E64" s="1" t="n">
        <v>46223</v>
      </c>
      <c r="F64" t="inlineStr">
        <is>
          <t>VÄRMLANDS LÄN</t>
        </is>
      </c>
      <c r="G64" t="inlineStr">
        <is>
          <t>FORSHAGA</t>
        </is>
      </c>
      <c r="I64" t="n">
        <v>0.5</v>
      </c>
      <c r="J64" t="n">
        <v>0</v>
      </c>
      <c r="K64" t="n">
        <v>0</v>
      </c>
      <c r="L64" t="n">
        <v>0</v>
      </c>
      <c r="M64" t="n">
        <v>0</v>
      </c>
      <c r="N64" t="n">
        <v>0</v>
      </c>
      <c r="O64" t="n">
        <v>0</v>
      </c>
      <c r="P64" t="n">
        <v>0</v>
      </c>
      <c r="Q64" t="n">
        <v>0</v>
      </c>
      <c r="R64" t="n">
        <v>0</v>
      </c>
      <c r="S64" t="n">
        <v>0</v>
      </c>
      <c r="T64" t="n">
        <v>0</v>
      </c>
      <c r="U64" s="2" t="inlineStr"/>
    </row>
    <row r="65" ht="15" customHeight="1">
      <c r="A65" t="inlineStr">
        <is>
          <t>A 35940-2024</t>
        </is>
      </c>
      <c r="B65" t="inlineStr">
        <is>
          <t>avverkningsanmälan</t>
        </is>
      </c>
      <c r="C65" t="inlineStr">
        <is>
          <t>Föryngringsavverkning</t>
        </is>
      </c>
      <c r="D65" s="1" t="n">
        <v>45533</v>
      </c>
      <c r="E65" s="1" t="n">
        <v>46223</v>
      </c>
      <c r="F65" t="inlineStr">
        <is>
          <t>VÄRMLANDS LÄN</t>
        </is>
      </c>
      <c r="G65" t="inlineStr">
        <is>
          <t>FORSHAGA</t>
        </is>
      </c>
      <c r="I65" t="n">
        <v>6.7</v>
      </c>
      <c r="J65" t="n">
        <v>0</v>
      </c>
      <c r="K65" t="n">
        <v>0</v>
      </c>
      <c r="L65" t="n">
        <v>0</v>
      </c>
      <c r="M65" t="n">
        <v>0</v>
      </c>
      <c r="N65" t="n">
        <v>0</v>
      </c>
      <c r="O65" t="n">
        <v>0</v>
      </c>
      <c r="P65" t="n">
        <v>0</v>
      </c>
      <c r="Q65" t="n">
        <v>0</v>
      </c>
      <c r="R65" t="n">
        <v>0</v>
      </c>
      <c r="S65" t="n">
        <v>0</v>
      </c>
      <c r="T65" t="n">
        <v>0</v>
      </c>
      <c r="U65" s="2" t="inlineStr"/>
    </row>
    <row r="66" ht="15" customHeight="1">
      <c r="A66" t="inlineStr">
        <is>
          <t>A 71625-2021</t>
        </is>
      </c>
      <c r="B66" t="inlineStr">
        <is>
          <t>avverkningsanmälan</t>
        </is>
      </c>
      <c r="C66" t="inlineStr">
        <is>
          <t>Föryngringsavverkning</t>
        </is>
      </c>
      <c r="D66" s="1" t="n">
        <v>44542</v>
      </c>
      <c r="E66" s="1" t="n">
        <v>46223</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s="2" t="inlineStr"/>
    </row>
    <row r="67" ht="15" customHeight="1">
      <c r="A67" t="inlineStr">
        <is>
          <t>A 26037-2023</t>
        </is>
      </c>
      <c r="B67" t="inlineStr">
        <is>
          <t>avverkningsanmälan</t>
        </is>
      </c>
      <c r="C67" t="inlineStr">
        <is>
          <t>Föryngringsavverkning</t>
        </is>
      </c>
      <c r="D67" s="1" t="n">
        <v>45091</v>
      </c>
      <c r="E67" s="1" t="n">
        <v>46223</v>
      </c>
      <c r="F67" t="inlineStr">
        <is>
          <t>VÄRMLANDS LÄN</t>
        </is>
      </c>
      <c r="G67" t="inlineStr">
        <is>
          <t>FORSHAGA</t>
        </is>
      </c>
      <c r="I67" t="n">
        <v>1.8</v>
      </c>
      <c r="J67" t="n">
        <v>0</v>
      </c>
      <c r="K67" t="n">
        <v>0</v>
      </c>
      <c r="L67" t="n">
        <v>0</v>
      </c>
      <c r="M67" t="n">
        <v>0</v>
      </c>
      <c r="N67" t="n">
        <v>0</v>
      </c>
      <c r="O67" t="n">
        <v>0</v>
      </c>
      <c r="P67" t="n">
        <v>0</v>
      </c>
      <c r="Q67" t="n">
        <v>0</v>
      </c>
      <c r="R67" t="n">
        <v>0</v>
      </c>
      <c r="S67" t="n">
        <v>0</v>
      </c>
      <c r="T67" t="n">
        <v>0</v>
      </c>
      <c r="U67" s="2" t="inlineStr"/>
    </row>
    <row r="68" ht="15" customHeight="1">
      <c r="A68" t="inlineStr">
        <is>
          <t>A 53074-2022</t>
        </is>
      </c>
      <c r="B68" t="inlineStr">
        <is>
          <t>avverkningsanmälan</t>
        </is>
      </c>
      <c r="C68" t="inlineStr">
        <is>
          <t>Föryngringsavverkning</t>
        </is>
      </c>
      <c r="D68" s="1" t="n">
        <v>44876</v>
      </c>
      <c r="E68" s="1" t="n">
        <v>46223</v>
      </c>
      <c r="F68" t="inlineStr">
        <is>
          <t>VÄRMLANDS LÄN</t>
        </is>
      </c>
      <c r="G68" t="inlineStr">
        <is>
          <t>FORSHAGA</t>
        </is>
      </c>
      <c r="I68" t="n">
        <v>5</v>
      </c>
      <c r="J68" t="n">
        <v>0</v>
      </c>
      <c r="K68" t="n">
        <v>0</v>
      </c>
      <c r="L68" t="n">
        <v>0</v>
      </c>
      <c r="M68" t="n">
        <v>0</v>
      </c>
      <c r="N68" t="n">
        <v>0</v>
      </c>
      <c r="O68" t="n">
        <v>0</v>
      </c>
      <c r="P68" t="n">
        <v>0</v>
      </c>
      <c r="Q68" t="n">
        <v>0</v>
      </c>
      <c r="R68" t="n">
        <v>0</v>
      </c>
      <c r="S68" t="n">
        <v>0</v>
      </c>
      <c r="T68" t="n">
        <v>0</v>
      </c>
      <c r="U68" s="2" t="inlineStr"/>
    </row>
    <row r="69" ht="15" customHeight="1">
      <c r="A69" t="inlineStr">
        <is>
          <t>A 56748-2022</t>
        </is>
      </c>
      <c r="B69" t="inlineStr">
        <is>
          <t>avverkningsanmälan</t>
        </is>
      </c>
      <c r="C69" t="inlineStr">
        <is>
          <t>Föryngringsavverkning</t>
        </is>
      </c>
      <c r="D69" s="1" t="n">
        <v>44894</v>
      </c>
      <c r="E69" s="1" t="n">
        <v>46223</v>
      </c>
      <c r="F69" t="inlineStr">
        <is>
          <t>VÄRMLANDS LÄN</t>
        </is>
      </c>
      <c r="G69" t="inlineStr">
        <is>
          <t>FORSHAGA</t>
        </is>
      </c>
      <c r="H69" t="inlineStr">
        <is>
          <t>Bergvik skog väst AB</t>
        </is>
      </c>
      <c r="I69" t="n">
        <v>8.199999999999999</v>
      </c>
      <c r="J69" t="n">
        <v>0</v>
      </c>
      <c r="K69" t="n">
        <v>0</v>
      </c>
      <c r="L69" t="n">
        <v>0</v>
      </c>
      <c r="M69" t="n">
        <v>0</v>
      </c>
      <c r="N69" t="n">
        <v>0</v>
      </c>
      <c r="O69" t="n">
        <v>0</v>
      </c>
      <c r="P69" t="n">
        <v>0</v>
      </c>
      <c r="Q69" t="n">
        <v>0</v>
      </c>
      <c r="R69" t="n">
        <v>0</v>
      </c>
      <c r="S69" t="n">
        <v>0</v>
      </c>
      <c r="T69" t="n">
        <v>0</v>
      </c>
      <c r="U69" s="2" t="inlineStr"/>
    </row>
    <row r="70" ht="15" customHeight="1">
      <c r="A70" t="inlineStr">
        <is>
          <t>A 25094-2024</t>
        </is>
      </c>
      <c r="B70" t="inlineStr">
        <is>
          <t>avverkningsanmälan</t>
        </is>
      </c>
      <c r="C70" t="inlineStr">
        <is>
          <t>Föryngringsavverkning</t>
        </is>
      </c>
      <c r="D70" s="1" t="n">
        <v>45462</v>
      </c>
      <c r="E70" s="1" t="n">
        <v>46223</v>
      </c>
      <c r="F70" t="inlineStr">
        <is>
          <t>VÄRMLANDS LÄN</t>
        </is>
      </c>
      <c r="G70" t="inlineStr">
        <is>
          <t>FORSHAGA</t>
        </is>
      </c>
      <c r="I70" t="n">
        <v>1.1</v>
      </c>
      <c r="J70" t="n">
        <v>0</v>
      </c>
      <c r="K70" t="n">
        <v>0</v>
      </c>
      <c r="L70" t="n">
        <v>0</v>
      </c>
      <c r="M70" t="n">
        <v>0</v>
      </c>
      <c r="N70" t="n">
        <v>0</v>
      </c>
      <c r="O70" t="n">
        <v>0</v>
      </c>
      <c r="P70" t="n">
        <v>0</v>
      </c>
      <c r="Q70" t="n">
        <v>0</v>
      </c>
      <c r="R70" t="n">
        <v>0</v>
      </c>
      <c r="S70" t="n">
        <v>0</v>
      </c>
      <c r="T70" t="n">
        <v>0</v>
      </c>
      <c r="U70" s="2" t="inlineStr"/>
    </row>
    <row r="71" ht="15" customHeight="1">
      <c r="A71" t="inlineStr">
        <is>
          <t>A 35335-2024</t>
        </is>
      </c>
      <c r="B71" t="inlineStr">
        <is>
          <t>avverkningsanmälan</t>
        </is>
      </c>
      <c r="C71" t="inlineStr">
        <is>
          <t>Föryngringsavverkning</t>
        </is>
      </c>
      <c r="D71" s="1" t="n">
        <v>45530</v>
      </c>
      <c r="E71" s="1" t="n">
        <v>46223</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29427-2024</t>
        </is>
      </c>
      <c r="B72" t="inlineStr">
        <is>
          <t>avverkningsanmälan</t>
        </is>
      </c>
      <c r="C72" t="inlineStr">
        <is>
          <t>Föryngringsavverkning</t>
        </is>
      </c>
      <c r="D72" s="1" t="n">
        <v>45483</v>
      </c>
      <c r="E72" s="1" t="n">
        <v>46223</v>
      </c>
      <c r="F72" t="inlineStr">
        <is>
          <t>VÄRMLANDS LÄN</t>
        </is>
      </c>
      <c r="G72" t="inlineStr">
        <is>
          <t>FORSHAGA</t>
        </is>
      </c>
      <c r="I72" t="n">
        <v>3.7</v>
      </c>
      <c r="J72" t="n">
        <v>0</v>
      </c>
      <c r="K72" t="n">
        <v>0</v>
      </c>
      <c r="L72" t="n">
        <v>0</v>
      </c>
      <c r="M72" t="n">
        <v>0</v>
      </c>
      <c r="N72" t="n">
        <v>0</v>
      </c>
      <c r="O72" t="n">
        <v>0</v>
      </c>
      <c r="P72" t="n">
        <v>0</v>
      </c>
      <c r="Q72" t="n">
        <v>0</v>
      </c>
      <c r="R72" t="n">
        <v>0</v>
      </c>
      <c r="S72" t="n">
        <v>0</v>
      </c>
      <c r="T72" t="n">
        <v>0</v>
      </c>
      <c r="U72" s="2" t="inlineStr"/>
    </row>
    <row r="73" ht="15" customHeight="1">
      <c r="A73" t="inlineStr">
        <is>
          <t>A 27995-2024</t>
        </is>
      </c>
      <c r="B73" t="inlineStr">
        <is>
          <t>avverkningsanmälan</t>
        </is>
      </c>
      <c r="C73" t="inlineStr">
        <is>
          <t>Föryngringsavverkning</t>
        </is>
      </c>
      <c r="D73" s="1" t="n">
        <v>45476</v>
      </c>
      <c r="E73" s="1" t="n">
        <v>46223</v>
      </c>
      <c r="F73" t="inlineStr">
        <is>
          <t>VÄRMLANDS LÄN</t>
        </is>
      </c>
      <c r="G73" t="inlineStr">
        <is>
          <t>FORSHAGA</t>
        </is>
      </c>
      <c r="I73" t="n">
        <v>3.8</v>
      </c>
      <c r="J73" t="n">
        <v>0</v>
      </c>
      <c r="K73" t="n">
        <v>0</v>
      </c>
      <c r="L73" t="n">
        <v>0</v>
      </c>
      <c r="M73" t="n">
        <v>0</v>
      </c>
      <c r="N73" t="n">
        <v>0</v>
      </c>
      <c r="O73" t="n">
        <v>0</v>
      </c>
      <c r="P73" t="n">
        <v>0</v>
      </c>
      <c r="Q73" t="n">
        <v>0</v>
      </c>
      <c r="R73" t="n">
        <v>0</v>
      </c>
      <c r="S73" t="n">
        <v>0</v>
      </c>
      <c r="T73" t="n">
        <v>0</v>
      </c>
      <c r="U73" s="2" t="inlineStr"/>
    </row>
    <row r="74" ht="15" customHeight="1">
      <c r="A74" t="inlineStr">
        <is>
          <t>A 34849-2024</t>
        </is>
      </c>
      <c r="B74" t="inlineStr">
        <is>
          <t>avverkningsanmälan</t>
        </is>
      </c>
      <c r="C74" t="inlineStr">
        <is>
          <t>Avverkning för att bevara och utveckla /försöksver</t>
        </is>
      </c>
      <c r="D74" s="1" t="n">
        <v>45527</v>
      </c>
      <c r="E74" s="1" t="n">
        <v>46223</v>
      </c>
      <c r="F74" t="inlineStr">
        <is>
          <t>VÄRMLANDS LÄN</t>
        </is>
      </c>
      <c r="G74" t="inlineStr">
        <is>
          <t>FORSHAGA</t>
        </is>
      </c>
      <c r="H74" t="inlineStr">
        <is>
          <t>Bergvik skog väst AB</t>
        </is>
      </c>
      <c r="I74" t="n">
        <v>0.5</v>
      </c>
      <c r="J74" t="n">
        <v>0</v>
      </c>
      <c r="K74" t="n">
        <v>0</v>
      </c>
      <c r="L74" t="n">
        <v>0</v>
      </c>
      <c r="M74" t="n">
        <v>0</v>
      </c>
      <c r="N74" t="n">
        <v>0</v>
      </c>
      <c r="O74" t="n">
        <v>0</v>
      </c>
      <c r="P74" t="n">
        <v>0</v>
      </c>
      <c r="Q74" t="n">
        <v>0</v>
      </c>
      <c r="R74" t="n">
        <v>0</v>
      </c>
      <c r="S74" t="n">
        <v>0</v>
      </c>
      <c r="T74" t="n">
        <v>0</v>
      </c>
      <c r="U74" s="2" t="inlineStr"/>
    </row>
    <row r="75" ht="15" customHeight="1">
      <c r="A75" t="inlineStr">
        <is>
          <t>A 15553-2022</t>
        </is>
      </c>
      <c r="B75" t="inlineStr">
        <is>
          <t>avverkningsanmälan</t>
        </is>
      </c>
      <c r="C75" t="inlineStr">
        <is>
          <t>Föryngringsavverkning</t>
        </is>
      </c>
      <c r="D75" s="1" t="n">
        <v>44662</v>
      </c>
      <c r="E75" s="1" t="n">
        <v>46223</v>
      </c>
      <c r="F75" t="inlineStr">
        <is>
          <t>VÄRMLANDS LÄN</t>
        </is>
      </c>
      <c r="G75" t="inlineStr">
        <is>
          <t>FORSHAGA</t>
        </is>
      </c>
      <c r="I75" t="n">
        <v>7.8</v>
      </c>
      <c r="J75" t="n">
        <v>0</v>
      </c>
      <c r="K75" t="n">
        <v>0</v>
      </c>
      <c r="L75" t="n">
        <v>0</v>
      </c>
      <c r="M75" t="n">
        <v>0</v>
      </c>
      <c r="N75" t="n">
        <v>0</v>
      </c>
      <c r="O75" t="n">
        <v>0</v>
      </c>
      <c r="P75" t="n">
        <v>0</v>
      </c>
      <c r="Q75" t="n">
        <v>0</v>
      </c>
      <c r="R75" t="n">
        <v>0</v>
      </c>
      <c r="S75" t="n">
        <v>0</v>
      </c>
      <c r="T75" t="n">
        <v>0</v>
      </c>
      <c r="U75" s="2" t="inlineStr"/>
    </row>
    <row r="76" ht="15" customHeight="1">
      <c r="A76" t="inlineStr">
        <is>
          <t>A 35855-2023</t>
        </is>
      </c>
      <c r="B76" t="inlineStr">
        <is>
          <t>avverkningsanmälan</t>
        </is>
      </c>
      <c r="C76" t="inlineStr">
        <is>
          <t>Föryngringsavverkning</t>
        </is>
      </c>
      <c r="D76" s="1" t="n">
        <v>45148</v>
      </c>
      <c r="E76" s="1" t="n">
        <v>46223</v>
      </c>
      <c r="F76" t="inlineStr">
        <is>
          <t>VÄRMLANDS LÄN</t>
        </is>
      </c>
      <c r="G76" t="inlineStr">
        <is>
          <t>FORSHAGA</t>
        </is>
      </c>
      <c r="H76" t="inlineStr">
        <is>
          <t>Kommuner</t>
        </is>
      </c>
      <c r="I76" t="n">
        <v>0.2</v>
      </c>
      <c r="J76" t="n">
        <v>0</v>
      </c>
      <c r="K76" t="n">
        <v>0</v>
      </c>
      <c r="L76" t="n">
        <v>0</v>
      </c>
      <c r="M76" t="n">
        <v>0</v>
      </c>
      <c r="N76" t="n">
        <v>0</v>
      </c>
      <c r="O76" t="n">
        <v>0</v>
      </c>
      <c r="P76" t="n">
        <v>0</v>
      </c>
      <c r="Q76" t="n">
        <v>0</v>
      </c>
      <c r="R76" t="n">
        <v>0</v>
      </c>
      <c r="S76" t="n">
        <v>0</v>
      </c>
      <c r="T76" t="n">
        <v>0</v>
      </c>
      <c r="U76" s="2" t="inlineStr"/>
    </row>
    <row r="77" ht="15" customHeight="1">
      <c r="A77" t="inlineStr">
        <is>
          <t>A 13198-2024</t>
        </is>
      </c>
      <c r="B77" t="inlineStr">
        <is>
          <t>avverkningsanmälan</t>
        </is>
      </c>
      <c r="C77" t="inlineStr">
        <is>
          <t>Föryngringsavverkning</t>
        </is>
      </c>
      <c r="D77" s="1" t="n">
        <v>45386</v>
      </c>
      <c r="E77" s="1" t="n">
        <v>46223</v>
      </c>
      <c r="F77" t="inlineStr">
        <is>
          <t>VÄRMLANDS LÄN</t>
        </is>
      </c>
      <c r="G77" t="inlineStr">
        <is>
          <t>FORSHAGA</t>
        </is>
      </c>
      <c r="I77" t="n">
        <v>4.2</v>
      </c>
      <c r="J77" t="n">
        <v>0</v>
      </c>
      <c r="K77" t="n">
        <v>0</v>
      </c>
      <c r="L77" t="n">
        <v>0</v>
      </c>
      <c r="M77" t="n">
        <v>0</v>
      </c>
      <c r="N77" t="n">
        <v>0</v>
      </c>
      <c r="O77" t="n">
        <v>0</v>
      </c>
      <c r="P77" t="n">
        <v>0</v>
      </c>
      <c r="Q77" t="n">
        <v>0</v>
      </c>
      <c r="R77" t="n">
        <v>0</v>
      </c>
      <c r="S77" t="n">
        <v>0</v>
      </c>
      <c r="T77" t="n">
        <v>0</v>
      </c>
      <c r="U77" s="2" t="inlineStr"/>
    </row>
    <row r="78" ht="15" customHeight="1">
      <c r="A78" t="inlineStr">
        <is>
          <t>A 11765-2025</t>
        </is>
      </c>
      <c r="B78" t="inlineStr">
        <is>
          <t>avverkningsanmälan</t>
        </is>
      </c>
      <c r="C78" t="inlineStr">
        <is>
          <t>Föryngringsavverkning</t>
        </is>
      </c>
      <c r="D78" s="1" t="n">
        <v>45727</v>
      </c>
      <c r="E78" s="1" t="n">
        <v>46223</v>
      </c>
      <c r="F78" t="inlineStr">
        <is>
          <t>VÄRMLANDS LÄN</t>
        </is>
      </c>
      <c r="G78" t="inlineStr">
        <is>
          <t>FORSHAGA</t>
        </is>
      </c>
      <c r="H78" t="inlineStr">
        <is>
          <t>Bergvik skog väst AB</t>
        </is>
      </c>
      <c r="I78" t="n">
        <v>1.3</v>
      </c>
      <c r="J78" t="n">
        <v>0</v>
      </c>
      <c r="K78" t="n">
        <v>0</v>
      </c>
      <c r="L78" t="n">
        <v>0</v>
      </c>
      <c r="M78" t="n">
        <v>0</v>
      </c>
      <c r="N78" t="n">
        <v>0</v>
      </c>
      <c r="O78" t="n">
        <v>0</v>
      </c>
      <c r="P78" t="n">
        <v>0</v>
      </c>
      <c r="Q78" t="n">
        <v>0</v>
      </c>
      <c r="R78" t="n">
        <v>0</v>
      </c>
      <c r="S78" t="n">
        <v>0</v>
      </c>
      <c r="T78" t="n">
        <v>0</v>
      </c>
      <c r="U78" s="2" t="inlineStr"/>
    </row>
    <row r="79" ht="15" customHeight="1">
      <c r="A79" t="inlineStr">
        <is>
          <t>A 20244-2023</t>
        </is>
      </c>
      <c r="B79" t="inlineStr">
        <is>
          <t>avverkningsanmälan</t>
        </is>
      </c>
      <c r="C79" t="inlineStr">
        <is>
          <t>Föryngringsavverkning</t>
        </is>
      </c>
      <c r="D79" s="1" t="n">
        <v>45055</v>
      </c>
      <c r="E79" s="1" t="n">
        <v>46223</v>
      </c>
      <c r="F79" t="inlineStr">
        <is>
          <t>VÄRMLANDS LÄN</t>
        </is>
      </c>
      <c r="G79" t="inlineStr">
        <is>
          <t>FORSHAGA</t>
        </is>
      </c>
      <c r="I79" t="n">
        <v>1.7</v>
      </c>
      <c r="J79" t="n">
        <v>0</v>
      </c>
      <c r="K79" t="n">
        <v>0</v>
      </c>
      <c r="L79" t="n">
        <v>0</v>
      </c>
      <c r="M79" t="n">
        <v>0</v>
      </c>
      <c r="N79" t="n">
        <v>0</v>
      </c>
      <c r="O79" t="n">
        <v>0</v>
      </c>
      <c r="P79" t="n">
        <v>0</v>
      </c>
      <c r="Q79" t="n">
        <v>0</v>
      </c>
      <c r="R79" t="n">
        <v>0</v>
      </c>
      <c r="S79" t="n">
        <v>0</v>
      </c>
      <c r="T79" t="n">
        <v>0</v>
      </c>
      <c r="U79" s="2" t="inlineStr"/>
    </row>
    <row r="80" ht="15" customHeight="1">
      <c r="A80" t="inlineStr">
        <is>
          <t>A 65915-2021</t>
        </is>
      </c>
      <c r="B80" t="inlineStr">
        <is>
          <t>avverkningsanmälan</t>
        </is>
      </c>
      <c r="C80" t="inlineStr">
        <is>
          <t>Föryngringsavverkning</t>
        </is>
      </c>
      <c r="D80" s="1" t="n">
        <v>44517</v>
      </c>
      <c r="E80" s="1" t="n">
        <v>46223</v>
      </c>
      <c r="F80" t="inlineStr">
        <is>
          <t>VÄRMLANDS LÄN</t>
        </is>
      </c>
      <c r="G80" t="inlineStr">
        <is>
          <t>FORSHAGA</t>
        </is>
      </c>
      <c r="I80" t="n">
        <v>17.2</v>
      </c>
      <c r="J80" t="n">
        <v>0</v>
      </c>
      <c r="K80" t="n">
        <v>0</v>
      </c>
      <c r="L80" t="n">
        <v>0</v>
      </c>
      <c r="M80" t="n">
        <v>0</v>
      </c>
      <c r="N80" t="n">
        <v>0</v>
      </c>
      <c r="O80" t="n">
        <v>0</v>
      </c>
      <c r="P80" t="n">
        <v>0</v>
      </c>
      <c r="Q80" t="n">
        <v>0</v>
      </c>
      <c r="R80" t="n">
        <v>0</v>
      </c>
      <c r="S80" t="n">
        <v>0</v>
      </c>
      <c r="T80" t="n">
        <v>0</v>
      </c>
      <c r="U80" s="2" t="inlineStr"/>
    </row>
    <row r="81" ht="15" customHeight="1">
      <c r="A81" t="inlineStr">
        <is>
          <t>A 62922-2023</t>
        </is>
      </c>
      <c r="B81" t="inlineStr">
        <is>
          <t>avverkningsanmälan</t>
        </is>
      </c>
      <c r="C81" t="inlineStr">
        <is>
          <t>Föryngringsavverkning</t>
        </is>
      </c>
      <c r="D81" s="1" t="n">
        <v>45272</v>
      </c>
      <c r="E81" s="1" t="n">
        <v>46223</v>
      </c>
      <c r="F81" t="inlineStr">
        <is>
          <t>VÄRMLANDS LÄN</t>
        </is>
      </c>
      <c r="G81" t="inlineStr">
        <is>
          <t>FORSHAGA</t>
        </is>
      </c>
      <c r="I81" t="n">
        <v>2.1</v>
      </c>
      <c r="J81" t="n">
        <v>0</v>
      </c>
      <c r="K81" t="n">
        <v>0</v>
      </c>
      <c r="L81" t="n">
        <v>0</v>
      </c>
      <c r="M81" t="n">
        <v>0</v>
      </c>
      <c r="N81" t="n">
        <v>0</v>
      </c>
      <c r="O81" t="n">
        <v>0</v>
      </c>
      <c r="P81" t="n">
        <v>0</v>
      </c>
      <c r="Q81" t="n">
        <v>0</v>
      </c>
      <c r="R81" t="n">
        <v>0</v>
      </c>
      <c r="S81" t="n">
        <v>0</v>
      </c>
      <c r="T81" t="n">
        <v>0</v>
      </c>
      <c r="U81" s="2" t="inlineStr"/>
    </row>
    <row r="82" ht="15" customHeight="1">
      <c r="A82" t="inlineStr">
        <is>
          <t>A 34886-2024</t>
        </is>
      </c>
      <c r="B82" t="inlineStr">
        <is>
          <t>avverkningsanmälan</t>
        </is>
      </c>
      <c r="C82" t="inlineStr">
        <is>
          <t>Föryngringsavverkning</t>
        </is>
      </c>
      <c r="D82" s="1" t="n">
        <v>45527</v>
      </c>
      <c r="E82" s="1" t="n">
        <v>46223</v>
      </c>
      <c r="F82" t="inlineStr">
        <is>
          <t>VÄRMLANDS LÄN</t>
        </is>
      </c>
      <c r="G82" t="inlineStr">
        <is>
          <t>FORSHAGA</t>
        </is>
      </c>
      <c r="H82" t="inlineStr">
        <is>
          <t>Bergvik skog väst AB</t>
        </is>
      </c>
      <c r="I82" t="n">
        <v>6.3</v>
      </c>
      <c r="J82" t="n">
        <v>0</v>
      </c>
      <c r="K82" t="n">
        <v>0</v>
      </c>
      <c r="L82" t="n">
        <v>0</v>
      </c>
      <c r="M82" t="n">
        <v>0</v>
      </c>
      <c r="N82" t="n">
        <v>0</v>
      </c>
      <c r="O82" t="n">
        <v>0</v>
      </c>
      <c r="P82" t="n">
        <v>0</v>
      </c>
      <c r="Q82" t="n">
        <v>0</v>
      </c>
      <c r="R82" t="n">
        <v>0</v>
      </c>
      <c r="S82" t="n">
        <v>0</v>
      </c>
      <c r="T82" t="n">
        <v>0</v>
      </c>
      <c r="U82" s="2" t="inlineStr"/>
    </row>
    <row r="83" ht="15" customHeight="1">
      <c r="A83" t="inlineStr">
        <is>
          <t>A 26869-2024</t>
        </is>
      </c>
      <c r="B83" t="inlineStr">
        <is>
          <t>avverkningsanmälan</t>
        </is>
      </c>
      <c r="C83" t="inlineStr">
        <is>
          <t>Avverkning för att bevara och utveckla /försöksver</t>
        </is>
      </c>
      <c r="D83" s="1" t="n">
        <v>45470</v>
      </c>
      <c r="E83" s="1" t="n">
        <v>46223</v>
      </c>
      <c r="F83" t="inlineStr">
        <is>
          <t>VÄRMLANDS LÄN</t>
        </is>
      </c>
      <c r="G83" t="inlineStr">
        <is>
          <t>FORSHAGA</t>
        </is>
      </c>
      <c r="H83" t="inlineStr">
        <is>
          <t>Bergvik skog väst AB</t>
        </is>
      </c>
      <c r="I83" t="n">
        <v>2.3</v>
      </c>
      <c r="J83" t="n">
        <v>0</v>
      </c>
      <c r="K83" t="n">
        <v>0</v>
      </c>
      <c r="L83" t="n">
        <v>0</v>
      </c>
      <c r="M83" t="n">
        <v>0</v>
      </c>
      <c r="N83" t="n">
        <v>0</v>
      </c>
      <c r="O83" t="n">
        <v>0</v>
      </c>
      <c r="P83" t="n">
        <v>0</v>
      </c>
      <c r="Q83" t="n">
        <v>0</v>
      </c>
      <c r="R83" t="n">
        <v>0</v>
      </c>
      <c r="S83" t="n">
        <v>0</v>
      </c>
      <c r="T83" t="n">
        <v>0</v>
      </c>
      <c r="U83" s="2" t="inlineStr"/>
    </row>
    <row r="84" ht="15" customHeight="1">
      <c r="A84" t="inlineStr">
        <is>
          <t>A 33222-2023</t>
        </is>
      </c>
      <c r="B84" t="inlineStr">
        <is>
          <t>avverkningsanmälan</t>
        </is>
      </c>
      <c r="C84" t="inlineStr">
        <is>
          <t>Föryngringsavverkning</t>
        </is>
      </c>
      <c r="D84" s="1" t="n">
        <v>45127</v>
      </c>
      <c r="E84" s="1" t="n">
        <v>46223</v>
      </c>
      <c r="F84" t="inlineStr">
        <is>
          <t>VÄRMLANDS LÄN</t>
        </is>
      </c>
      <c r="G84" t="inlineStr">
        <is>
          <t>FORSHAGA</t>
        </is>
      </c>
      <c r="H84" t="inlineStr">
        <is>
          <t>Kommuner</t>
        </is>
      </c>
      <c r="I84" t="n">
        <v>5.9</v>
      </c>
      <c r="J84" t="n">
        <v>0</v>
      </c>
      <c r="K84" t="n">
        <v>0</v>
      </c>
      <c r="L84" t="n">
        <v>0</v>
      </c>
      <c r="M84" t="n">
        <v>0</v>
      </c>
      <c r="N84" t="n">
        <v>0</v>
      </c>
      <c r="O84" t="n">
        <v>0</v>
      </c>
      <c r="P84" t="n">
        <v>0</v>
      </c>
      <c r="Q84" t="n">
        <v>0</v>
      </c>
      <c r="R84" t="n">
        <v>0</v>
      </c>
      <c r="S84" t="n">
        <v>0</v>
      </c>
      <c r="T84" t="n">
        <v>0</v>
      </c>
      <c r="U84" s="2" t="inlineStr"/>
    </row>
    <row r="85" ht="15" customHeight="1">
      <c r="A85" t="inlineStr">
        <is>
          <t>A 33229-2023</t>
        </is>
      </c>
      <c r="B85" t="inlineStr">
        <is>
          <t>avverkningsanmälan</t>
        </is>
      </c>
      <c r="C85" t="inlineStr">
        <is>
          <t>Föryngringsavverkning</t>
        </is>
      </c>
      <c r="D85" s="1" t="n">
        <v>45127</v>
      </c>
      <c r="E85" s="1" t="n">
        <v>46223</v>
      </c>
      <c r="F85" t="inlineStr">
        <is>
          <t>VÄRMLANDS LÄN</t>
        </is>
      </c>
      <c r="G85" t="inlineStr">
        <is>
          <t>FORSHAGA</t>
        </is>
      </c>
      <c r="H85" t="inlineStr">
        <is>
          <t>Kommuner</t>
        </is>
      </c>
      <c r="I85" t="n">
        <v>1</v>
      </c>
      <c r="J85" t="n">
        <v>0</v>
      </c>
      <c r="K85" t="n">
        <v>0</v>
      </c>
      <c r="L85" t="n">
        <v>0</v>
      </c>
      <c r="M85" t="n">
        <v>0</v>
      </c>
      <c r="N85" t="n">
        <v>0</v>
      </c>
      <c r="O85" t="n">
        <v>0</v>
      </c>
      <c r="P85" t="n">
        <v>0</v>
      </c>
      <c r="Q85" t="n">
        <v>0</v>
      </c>
      <c r="R85" t="n">
        <v>0</v>
      </c>
      <c r="S85" t="n">
        <v>0</v>
      </c>
      <c r="T85" t="n">
        <v>0</v>
      </c>
      <c r="U85" s="2" t="inlineStr"/>
    </row>
    <row r="86" ht="15" customHeight="1">
      <c r="A86" t="inlineStr">
        <is>
          <t>A 28242-2024</t>
        </is>
      </c>
      <c r="B86" t="inlineStr">
        <is>
          <t>avverkningsanmälan</t>
        </is>
      </c>
      <c r="C86" t="inlineStr">
        <is>
          <t>Föryngringsavverkning</t>
        </is>
      </c>
      <c r="D86" s="1" t="n">
        <v>45477</v>
      </c>
      <c r="E86" s="1" t="n">
        <v>46223</v>
      </c>
      <c r="F86" t="inlineStr">
        <is>
          <t>VÄRMLANDS LÄN</t>
        </is>
      </c>
      <c r="G86" t="inlineStr">
        <is>
          <t>FORSHAGA</t>
        </is>
      </c>
      <c r="I86" t="n">
        <v>2.9</v>
      </c>
      <c r="J86" t="n">
        <v>0</v>
      </c>
      <c r="K86" t="n">
        <v>0</v>
      </c>
      <c r="L86" t="n">
        <v>0</v>
      </c>
      <c r="M86" t="n">
        <v>0</v>
      </c>
      <c r="N86" t="n">
        <v>0</v>
      </c>
      <c r="O86" t="n">
        <v>0</v>
      </c>
      <c r="P86" t="n">
        <v>0</v>
      </c>
      <c r="Q86" t="n">
        <v>0</v>
      </c>
      <c r="R86" t="n">
        <v>0</v>
      </c>
      <c r="S86" t="n">
        <v>0</v>
      </c>
      <c r="T86" t="n">
        <v>0</v>
      </c>
      <c r="U86" s="2" t="inlineStr"/>
    </row>
    <row r="87" ht="15" customHeight="1">
      <c r="A87" t="inlineStr">
        <is>
          <t>A 28271-2024</t>
        </is>
      </c>
      <c r="B87" t="inlineStr">
        <is>
          <t>avverkningsanmälan</t>
        </is>
      </c>
      <c r="C87" t="inlineStr">
        <is>
          <t>Föryngringsavverkning</t>
        </is>
      </c>
      <c r="D87" s="1" t="n">
        <v>45477</v>
      </c>
      <c r="E87" s="1" t="n">
        <v>46223</v>
      </c>
      <c r="F87" t="inlineStr">
        <is>
          <t>VÄRMLANDS LÄN</t>
        </is>
      </c>
      <c r="G87" t="inlineStr">
        <is>
          <t>FORSHAGA</t>
        </is>
      </c>
      <c r="I87" t="n">
        <v>1.9</v>
      </c>
      <c r="J87" t="n">
        <v>0</v>
      </c>
      <c r="K87" t="n">
        <v>0</v>
      </c>
      <c r="L87" t="n">
        <v>0</v>
      </c>
      <c r="M87" t="n">
        <v>0</v>
      </c>
      <c r="N87" t="n">
        <v>0</v>
      </c>
      <c r="O87" t="n">
        <v>0</v>
      </c>
      <c r="P87" t="n">
        <v>0</v>
      </c>
      <c r="Q87" t="n">
        <v>0</v>
      </c>
      <c r="R87" t="n">
        <v>0</v>
      </c>
      <c r="S87" t="n">
        <v>0</v>
      </c>
      <c r="T87" t="n">
        <v>0</v>
      </c>
      <c r="U87" s="2" t="inlineStr"/>
    </row>
    <row r="88" ht="15" customHeight="1">
      <c r="A88" t="inlineStr">
        <is>
          <t>A 40080-2025</t>
        </is>
      </c>
      <c r="B88" t="inlineStr">
        <is>
          <t>avverkningsanmälan</t>
        </is>
      </c>
      <c r="C88" t="inlineStr">
        <is>
          <t>Föryngringsavverkning</t>
        </is>
      </c>
      <c r="D88" s="1" t="n">
        <v>45894</v>
      </c>
      <c r="E88" s="1" t="n">
        <v>46223</v>
      </c>
      <c r="F88" t="inlineStr">
        <is>
          <t>VÄRMLANDS LÄN</t>
        </is>
      </c>
      <c r="G88" t="inlineStr">
        <is>
          <t>FORSHAGA</t>
        </is>
      </c>
      <c r="I88" t="n">
        <v>3</v>
      </c>
      <c r="J88" t="n">
        <v>0</v>
      </c>
      <c r="K88" t="n">
        <v>0</v>
      </c>
      <c r="L88" t="n">
        <v>0</v>
      </c>
      <c r="M88" t="n">
        <v>0</v>
      </c>
      <c r="N88" t="n">
        <v>0</v>
      </c>
      <c r="O88" t="n">
        <v>0</v>
      </c>
      <c r="P88" t="n">
        <v>0</v>
      </c>
      <c r="Q88" t="n">
        <v>0</v>
      </c>
      <c r="R88" t="n">
        <v>0</v>
      </c>
      <c r="S88" t="n">
        <v>0</v>
      </c>
      <c r="T88" t="n">
        <v>0</v>
      </c>
      <c r="U88" s="2" t="inlineStr"/>
    </row>
    <row r="89" ht="15" customHeight="1">
      <c r="A89" t="inlineStr">
        <is>
          <t>A 39748-2025</t>
        </is>
      </c>
      <c r="B89" t="inlineStr">
        <is>
          <t>avverkningsanmälan</t>
        </is>
      </c>
      <c r="C89" t="inlineStr">
        <is>
          <t>Föryngringsavverkning</t>
        </is>
      </c>
      <c r="D89" s="1" t="n">
        <v>45891</v>
      </c>
      <c r="E89" s="1" t="n">
        <v>46223</v>
      </c>
      <c r="F89" t="inlineStr">
        <is>
          <t>VÄRMLANDS LÄN</t>
        </is>
      </c>
      <c r="G89" t="inlineStr">
        <is>
          <t>FORSHAGA</t>
        </is>
      </c>
      <c r="H89" t="inlineStr">
        <is>
          <t>Kyrkan</t>
        </is>
      </c>
      <c r="I89" t="n">
        <v>1.9</v>
      </c>
      <c r="J89" t="n">
        <v>0</v>
      </c>
      <c r="K89" t="n">
        <v>0</v>
      </c>
      <c r="L89" t="n">
        <v>0</v>
      </c>
      <c r="M89" t="n">
        <v>0</v>
      </c>
      <c r="N89" t="n">
        <v>0</v>
      </c>
      <c r="O89" t="n">
        <v>0</v>
      </c>
      <c r="P89" t="n">
        <v>0</v>
      </c>
      <c r="Q89" t="n">
        <v>0</v>
      </c>
      <c r="R89" t="n">
        <v>0</v>
      </c>
      <c r="S89" t="n">
        <v>0</v>
      </c>
      <c r="T89" t="n">
        <v>0</v>
      </c>
      <c r="U89" s="2" t="inlineStr"/>
    </row>
    <row r="90" ht="15" customHeight="1">
      <c r="A90" t="inlineStr">
        <is>
          <t>A 29188-2025</t>
        </is>
      </c>
      <c r="B90" t="inlineStr">
        <is>
          <t>avverkningsanmälan</t>
        </is>
      </c>
      <c r="C90" t="inlineStr">
        <is>
          <t>Föryngringsavverkning</t>
        </is>
      </c>
      <c r="D90" s="1" t="n">
        <v>45821</v>
      </c>
      <c r="E90" s="1" t="n">
        <v>46223</v>
      </c>
      <c r="F90" t="inlineStr">
        <is>
          <t>VÄRMLANDS LÄN</t>
        </is>
      </c>
      <c r="G90" t="inlineStr">
        <is>
          <t>FORSHAGA</t>
        </is>
      </c>
      <c r="I90" t="n">
        <v>0.3</v>
      </c>
      <c r="J90" t="n">
        <v>0</v>
      </c>
      <c r="K90" t="n">
        <v>0</v>
      </c>
      <c r="L90" t="n">
        <v>0</v>
      </c>
      <c r="M90" t="n">
        <v>0</v>
      </c>
      <c r="N90" t="n">
        <v>0</v>
      </c>
      <c r="O90" t="n">
        <v>0</v>
      </c>
      <c r="P90" t="n">
        <v>0</v>
      </c>
      <c r="Q90" t="n">
        <v>0</v>
      </c>
      <c r="R90" t="n">
        <v>0</v>
      </c>
      <c r="S90" t="n">
        <v>0</v>
      </c>
      <c r="T90" t="n">
        <v>0</v>
      </c>
      <c r="U90" s="2" t="inlineStr"/>
    </row>
    <row r="91" ht="15" customHeight="1">
      <c r="A91" t="inlineStr">
        <is>
          <t>A 30853-2025</t>
        </is>
      </c>
      <c r="B91" t="inlineStr">
        <is>
          <t>avverkningsanmälan</t>
        </is>
      </c>
      <c r="C91" t="inlineStr">
        <is>
          <t>Föryngringsavverkning</t>
        </is>
      </c>
      <c r="D91" s="1" t="n">
        <v>45831</v>
      </c>
      <c r="E91" s="1" t="n">
        <v>46223</v>
      </c>
      <c r="F91" t="inlineStr">
        <is>
          <t>VÄRMLANDS LÄN</t>
        </is>
      </c>
      <c r="G91" t="inlineStr">
        <is>
          <t>FORSHAGA</t>
        </is>
      </c>
      <c r="I91" t="n">
        <v>0.5</v>
      </c>
      <c r="J91" t="n">
        <v>0</v>
      </c>
      <c r="K91" t="n">
        <v>0</v>
      </c>
      <c r="L91" t="n">
        <v>0</v>
      </c>
      <c r="M91" t="n">
        <v>0</v>
      </c>
      <c r="N91" t="n">
        <v>0</v>
      </c>
      <c r="O91" t="n">
        <v>0</v>
      </c>
      <c r="P91" t="n">
        <v>0</v>
      </c>
      <c r="Q91" t="n">
        <v>0</v>
      </c>
      <c r="R91" t="n">
        <v>0</v>
      </c>
      <c r="S91" t="n">
        <v>0</v>
      </c>
      <c r="T91" t="n">
        <v>0</v>
      </c>
      <c r="U91" s="2" t="inlineStr"/>
    </row>
    <row r="92" ht="15" customHeight="1">
      <c r="A92" t="inlineStr">
        <is>
          <t>A 14988-2024</t>
        </is>
      </c>
      <c r="B92" t="inlineStr">
        <is>
          <t>avverkningsanmälan</t>
        </is>
      </c>
      <c r="C92" t="inlineStr">
        <is>
          <t>Föryngringsavverkning</t>
        </is>
      </c>
      <c r="D92" s="1" t="n">
        <v>45399</v>
      </c>
      <c r="E92" s="1" t="n">
        <v>46223</v>
      </c>
      <c r="F92" t="inlineStr">
        <is>
          <t>VÄRMLANDS LÄN</t>
        </is>
      </c>
      <c r="G92" t="inlineStr">
        <is>
          <t>FORSHAGA</t>
        </is>
      </c>
      <c r="I92" t="n">
        <v>2.1</v>
      </c>
      <c r="J92" t="n">
        <v>0</v>
      </c>
      <c r="K92" t="n">
        <v>0</v>
      </c>
      <c r="L92" t="n">
        <v>0</v>
      </c>
      <c r="M92" t="n">
        <v>0</v>
      </c>
      <c r="N92" t="n">
        <v>0</v>
      </c>
      <c r="O92" t="n">
        <v>0</v>
      </c>
      <c r="P92" t="n">
        <v>0</v>
      </c>
      <c r="Q92" t="n">
        <v>0</v>
      </c>
      <c r="R92" t="n">
        <v>0</v>
      </c>
      <c r="S92" t="n">
        <v>0</v>
      </c>
      <c r="T92" t="n">
        <v>0</v>
      </c>
      <c r="U92" s="2" t="inlineStr"/>
    </row>
    <row r="93" ht="15" customHeight="1">
      <c r="A93" t="inlineStr">
        <is>
          <t>A 40744-2025</t>
        </is>
      </c>
      <c r="B93" t="inlineStr">
        <is>
          <t>avverkningsanmälan</t>
        </is>
      </c>
      <c r="C93" t="inlineStr">
        <is>
          <t>Föryngringsavverkning</t>
        </is>
      </c>
      <c r="D93" s="1" t="n">
        <v>45897</v>
      </c>
      <c r="E93" s="1" t="n">
        <v>46223</v>
      </c>
      <c r="F93" t="inlineStr">
        <is>
          <t>VÄRMLANDS LÄN</t>
        </is>
      </c>
      <c r="G93" t="inlineStr">
        <is>
          <t>FORSHAGA</t>
        </is>
      </c>
      <c r="H93" t="inlineStr">
        <is>
          <t>Kyrkan</t>
        </is>
      </c>
      <c r="I93" t="n">
        <v>5.3</v>
      </c>
      <c r="J93" t="n">
        <v>0</v>
      </c>
      <c r="K93" t="n">
        <v>0</v>
      </c>
      <c r="L93" t="n">
        <v>0</v>
      </c>
      <c r="M93" t="n">
        <v>0</v>
      </c>
      <c r="N93" t="n">
        <v>0</v>
      </c>
      <c r="O93" t="n">
        <v>0</v>
      </c>
      <c r="P93" t="n">
        <v>0</v>
      </c>
      <c r="Q93" t="n">
        <v>0</v>
      </c>
      <c r="R93" t="n">
        <v>0</v>
      </c>
      <c r="S93" t="n">
        <v>0</v>
      </c>
      <c r="T93" t="n">
        <v>0</v>
      </c>
      <c r="U93" s="2" t="inlineStr"/>
    </row>
    <row r="94" ht="15" customHeight="1">
      <c r="A94" t="inlineStr">
        <is>
          <t>A 58688-2023</t>
        </is>
      </c>
      <c r="B94" t="inlineStr">
        <is>
          <t>avverkningsanmälan</t>
        </is>
      </c>
      <c r="C94" t="inlineStr">
        <is>
          <t>Föryngringsavverkning</t>
        </is>
      </c>
      <c r="D94" s="1" t="n">
        <v>45251</v>
      </c>
      <c r="E94" s="1" t="n">
        <v>46223</v>
      </c>
      <c r="F94" t="inlineStr">
        <is>
          <t>VÄRMLANDS LÄN</t>
        </is>
      </c>
      <c r="G94" t="inlineStr">
        <is>
          <t>FORSHAGA</t>
        </is>
      </c>
      <c r="I94" t="n">
        <v>1</v>
      </c>
      <c r="J94" t="n">
        <v>0</v>
      </c>
      <c r="K94" t="n">
        <v>0</v>
      </c>
      <c r="L94" t="n">
        <v>0</v>
      </c>
      <c r="M94" t="n">
        <v>0</v>
      </c>
      <c r="N94" t="n">
        <v>0</v>
      </c>
      <c r="O94" t="n">
        <v>0</v>
      </c>
      <c r="P94" t="n">
        <v>0</v>
      </c>
      <c r="Q94" t="n">
        <v>0</v>
      </c>
      <c r="R94" t="n">
        <v>0</v>
      </c>
      <c r="S94" t="n">
        <v>0</v>
      </c>
      <c r="T94" t="n">
        <v>0</v>
      </c>
      <c r="U94" s="2" t="inlineStr"/>
    </row>
    <row r="95" ht="15" customHeight="1">
      <c r="A95" t="inlineStr">
        <is>
          <t>A 31831-2025</t>
        </is>
      </c>
      <c r="B95" t="inlineStr">
        <is>
          <t>avverkningsanmälan</t>
        </is>
      </c>
      <c r="C95" t="inlineStr">
        <is>
          <t>Föryngringsavverkning</t>
        </is>
      </c>
      <c r="D95" s="1" t="n">
        <v>45834</v>
      </c>
      <c r="E95" s="1" t="n">
        <v>46223</v>
      </c>
      <c r="F95" t="inlineStr">
        <is>
          <t>VÄRMLANDS LÄN</t>
        </is>
      </c>
      <c r="G95" t="inlineStr">
        <is>
          <t>FORSHAGA</t>
        </is>
      </c>
      <c r="I95" t="n">
        <v>0.4</v>
      </c>
      <c r="J95" t="n">
        <v>0</v>
      </c>
      <c r="K95" t="n">
        <v>0</v>
      </c>
      <c r="L95" t="n">
        <v>0</v>
      </c>
      <c r="M95" t="n">
        <v>0</v>
      </c>
      <c r="N95" t="n">
        <v>0</v>
      </c>
      <c r="O95" t="n">
        <v>0</v>
      </c>
      <c r="P95" t="n">
        <v>0</v>
      </c>
      <c r="Q95" t="n">
        <v>0</v>
      </c>
      <c r="R95" t="n">
        <v>0</v>
      </c>
      <c r="S95" t="n">
        <v>0</v>
      </c>
      <c r="T95" t="n">
        <v>0</v>
      </c>
      <c r="U95" s="2" t="inlineStr"/>
    </row>
    <row r="96" ht="15" customHeight="1">
      <c r="A96" t="inlineStr">
        <is>
          <t>A 14382-2023</t>
        </is>
      </c>
      <c r="B96" t="inlineStr">
        <is>
          <t>avverkningsanmälan</t>
        </is>
      </c>
      <c r="C96" t="inlineStr">
        <is>
          <t>Avverkning för annat ändamål</t>
        </is>
      </c>
      <c r="D96" s="1" t="n">
        <v>45012</v>
      </c>
      <c r="E96" s="1" t="n">
        <v>46223</v>
      </c>
      <c r="F96" t="inlineStr">
        <is>
          <t>VÄRMLANDS LÄN</t>
        </is>
      </c>
      <c r="G96" t="inlineStr">
        <is>
          <t>FORSHAGA</t>
        </is>
      </c>
      <c r="H96" t="inlineStr">
        <is>
          <t>Bergvik skog väst AB</t>
        </is>
      </c>
      <c r="I96" t="n">
        <v>2</v>
      </c>
      <c r="J96" t="n">
        <v>0</v>
      </c>
      <c r="K96" t="n">
        <v>0</v>
      </c>
      <c r="L96" t="n">
        <v>0</v>
      </c>
      <c r="M96" t="n">
        <v>0</v>
      </c>
      <c r="N96" t="n">
        <v>0</v>
      </c>
      <c r="O96" t="n">
        <v>0</v>
      </c>
      <c r="P96" t="n">
        <v>0</v>
      </c>
      <c r="Q96" t="n">
        <v>0</v>
      </c>
      <c r="R96" t="n">
        <v>0</v>
      </c>
      <c r="S96" t="n">
        <v>0</v>
      </c>
      <c r="T96" t="n">
        <v>0</v>
      </c>
      <c r="U96" s="2" t="inlineStr"/>
    </row>
    <row r="97" ht="15" customHeight="1">
      <c r="A97" t="inlineStr">
        <is>
          <t>A 42370-2025</t>
        </is>
      </c>
      <c r="B97" t="inlineStr">
        <is>
          <t>avverkningsanmälan</t>
        </is>
      </c>
      <c r="C97" t="inlineStr">
        <is>
          <t>Avverkning för annat ändamål</t>
        </is>
      </c>
      <c r="D97" s="1" t="n">
        <v>45905</v>
      </c>
      <c r="E97" s="1" t="n">
        <v>46223</v>
      </c>
      <c r="F97" t="inlineStr">
        <is>
          <t>VÄRMLANDS LÄN</t>
        </is>
      </c>
      <c r="G97" t="inlineStr">
        <is>
          <t>FORSHAGA</t>
        </is>
      </c>
      <c r="H97" t="inlineStr">
        <is>
          <t>Kommuner</t>
        </is>
      </c>
      <c r="I97" t="n">
        <v>0.2</v>
      </c>
      <c r="J97" t="n">
        <v>0</v>
      </c>
      <c r="K97" t="n">
        <v>0</v>
      </c>
      <c r="L97" t="n">
        <v>0</v>
      </c>
      <c r="M97" t="n">
        <v>0</v>
      </c>
      <c r="N97" t="n">
        <v>0</v>
      </c>
      <c r="O97" t="n">
        <v>0</v>
      </c>
      <c r="P97" t="n">
        <v>0</v>
      </c>
      <c r="Q97" t="n">
        <v>0</v>
      </c>
      <c r="R97" t="n">
        <v>0</v>
      </c>
      <c r="S97" t="n">
        <v>0</v>
      </c>
      <c r="T97" t="n">
        <v>0</v>
      </c>
      <c r="U97" s="2" t="inlineStr"/>
    </row>
    <row r="98" ht="15" customHeight="1">
      <c r="A98" t="inlineStr">
        <is>
          <t>A 61463-2022</t>
        </is>
      </c>
      <c r="B98" t="inlineStr">
        <is>
          <t>avverkningsanmälan</t>
        </is>
      </c>
      <c r="C98" t="inlineStr">
        <is>
          <t>Föryngringsavverkning</t>
        </is>
      </c>
      <c r="D98" s="1" t="n">
        <v>44916</v>
      </c>
      <c r="E98" s="1" t="n">
        <v>46223</v>
      </c>
      <c r="F98" t="inlineStr">
        <is>
          <t>VÄRMLANDS LÄN</t>
        </is>
      </c>
      <c r="G98" t="inlineStr">
        <is>
          <t>FORSHAGA</t>
        </is>
      </c>
      <c r="I98" t="n">
        <v>1.6</v>
      </c>
      <c r="J98" t="n">
        <v>0</v>
      </c>
      <c r="K98" t="n">
        <v>0</v>
      </c>
      <c r="L98" t="n">
        <v>0</v>
      </c>
      <c r="M98" t="n">
        <v>0</v>
      </c>
      <c r="N98" t="n">
        <v>0</v>
      </c>
      <c r="O98" t="n">
        <v>0</v>
      </c>
      <c r="P98" t="n">
        <v>0</v>
      </c>
      <c r="Q98" t="n">
        <v>0</v>
      </c>
      <c r="R98" t="n">
        <v>0</v>
      </c>
      <c r="S98" t="n">
        <v>0</v>
      </c>
      <c r="T98" t="n">
        <v>0</v>
      </c>
      <c r="U98" s="2" t="inlineStr"/>
    </row>
    <row r="99" ht="15" customHeight="1">
      <c r="A99" t="inlineStr">
        <is>
          <t>A 42441-2025</t>
        </is>
      </c>
      <c r="B99" t="inlineStr">
        <is>
          <t>avverkningsanmälan</t>
        </is>
      </c>
      <c r="C99" t="inlineStr">
        <is>
          <t>Föryngringsavverkning</t>
        </is>
      </c>
      <c r="D99" s="1" t="n">
        <v>45905</v>
      </c>
      <c r="E99" s="1" t="n">
        <v>46223</v>
      </c>
      <c r="F99" t="inlineStr">
        <is>
          <t>VÄRMLANDS LÄN</t>
        </is>
      </c>
      <c r="G99" t="inlineStr">
        <is>
          <t>FORSHAGA</t>
        </is>
      </c>
      <c r="I99" t="n">
        <v>4.1</v>
      </c>
      <c r="J99" t="n">
        <v>0</v>
      </c>
      <c r="K99" t="n">
        <v>0</v>
      </c>
      <c r="L99" t="n">
        <v>0</v>
      </c>
      <c r="M99" t="n">
        <v>0</v>
      </c>
      <c r="N99" t="n">
        <v>0</v>
      </c>
      <c r="O99" t="n">
        <v>0</v>
      </c>
      <c r="P99" t="n">
        <v>0</v>
      </c>
      <c r="Q99" t="n">
        <v>0</v>
      </c>
      <c r="R99" t="n">
        <v>0</v>
      </c>
      <c r="S99" t="n">
        <v>0</v>
      </c>
      <c r="T99" t="n">
        <v>0</v>
      </c>
      <c r="U99" s="2" t="inlineStr"/>
    </row>
    <row r="100" ht="15" customHeight="1">
      <c r="A100" t="inlineStr">
        <is>
          <t>A 7299-2023</t>
        </is>
      </c>
      <c r="B100" t="inlineStr">
        <is>
          <t>avverkningsanmälan</t>
        </is>
      </c>
      <c r="C100" t="inlineStr">
        <is>
          <t>Föryngringsavverkning</t>
        </is>
      </c>
      <c r="D100" s="1" t="n">
        <v>44970</v>
      </c>
      <c r="E100" s="1" t="n">
        <v>46223</v>
      </c>
      <c r="F100" t="inlineStr">
        <is>
          <t>VÄRMLANDS LÄN</t>
        </is>
      </c>
      <c r="G100" t="inlineStr">
        <is>
          <t>FORSHAGA</t>
        </is>
      </c>
      <c r="I100" t="n">
        <v>0.3</v>
      </c>
      <c r="J100" t="n">
        <v>0</v>
      </c>
      <c r="K100" t="n">
        <v>0</v>
      </c>
      <c r="L100" t="n">
        <v>0</v>
      </c>
      <c r="M100" t="n">
        <v>0</v>
      </c>
      <c r="N100" t="n">
        <v>0</v>
      </c>
      <c r="O100" t="n">
        <v>0</v>
      </c>
      <c r="P100" t="n">
        <v>0</v>
      </c>
      <c r="Q100" t="n">
        <v>0</v>
      </c>
      <c r="R100" t="n">
        <v>0</v>
      </c>
      <c r="S100" t="n">
        <v>0</v>
      </c>
      <c r="T100" t="n">
        <v>0</v>
      </c>
      <c r="U100" s="2" t="inlineStr"/>
    </row>
    <row r="101" ht="15" customHeight="1">
      <c r="A101" t="inlineStr">
        <is>
          <t>A 31968-2025</t>
        </is>
      </c>
      <c r="B101" t="inlineStr">
        <is>
          <t>avverkningsanmälan</t>
        </is>
      </c>
      <c r="C101" t="inlineStr">
        <is>
          <t>Föryngringsavverkning</t>
        </is>
      </c>
      <c r="D101" s="1" t="n">
        <v>45835</v>
      </c>
      <c r="E101" s="1" t="n">
        <v>46223</v>
      </c>
      <c r="F101" t="inlineStr">
        <is>
          <t>VÄRMLANDS LÄN</t>
        </is>
      </c>
      <c r="G101" t="inlineStr">
        <is>
          <t>FORSHAGA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42572-2025</t>
        </is>
      </c>
      <c r="B102" t="inlineStr">
        <is>
          <t>avverkningsanmälan</t>
        </is>
      </c>
      <c r="C102" t="inlineStr">
        <is>
          <t>Föryngringsavverkning</t>
        </is>
      </c>
      <c r="D102" s="1" t="n">
        <v>45905</v>
      </c>
      <c r="E102" s="1" t="n">
        <v>46223</v>
      </c>
      <c r="F102" t="inlineStr">
        <is>
          <t>VÄRMLANDS LÄN</t>
        </is>
      </c>
      <c r="G102" t="inlineStr">
        <is>
          <t>FORSHAGA</t>
        </is>
      </c>
      <c r="I102" t="n">
        <v>12.5</v>
      </c>
      <c r="J102" t="n">
        <v>0</v>
      </c>
      <c r="K102" t="n">
        <v>0</v>
      </c>
      <c r="L102" t="n">
        <v>0</v>
      </c>
      <c r="M102" t="n">
        <v>0</v>
      </c>
      <c r="N102" t="n">
        <v>0</v>
      </c>
      <c r="O102" t="n">
        <v>0</v>
      </c>
      <c r="P102" t="n">
        <v>0</v>
      </c>
      <c r="Q102" t="n">
        <v>0</v>
      </c>
      <c r="R102" t="n">
        <v>0</v>
      </c>
      <c r="S102" t="n">
        <v>0</v>
      </c>
      <c r="T102" t="n">
        <v>0</v>
      </c>
      <c r="U102" s="2" t="inlineStr"/>
    </row>
    <row r="103" ht="15" customHeight="1">
      <c r="A103" t="inlineStr">
        <is>
          <t>A 29852-2022</t>
        </is>
      </c>
      <c r="B103" t="inlineStr">
        <is>
          <t>avverkningsanmälan</t>
        </is>
      </c>
      <c r="C103" t="inlineStr">
        <is>
          <t>Föryngringsavverkning</t>
        </is>
      </c>
      <c r="D103" s="1" t="n">
        <v>44756</v>
      </c>
      <c r="E103" s="1" t="n">
        <v>46223</v>
      </c>
      <c r="F103" t="inlineStr">
        <is>
          <t>VÄRMLANDS LÄN</t>
        </is>
      </c>
      <c r="G103" t="inlineStr">
        <is>
          <t>FORSHAGA</t>
        </is>
      </c>
      <c r="I103" t="n">
        <v>5.9</v>
      </c>
      <c r="J103" t="n">
        <v>0</v>
      </c>
      <c r="K103" t="n">
        <v>0</v>
      </c>
      <c r="L103" t="n">
        <v>0</v>
      </c>
      <c r="M103" t="n">
        <v>0</v>
      </c>
      <c r="N103" t="n">
        <v>0</v>
      </c>
      <c r="O103" t="n">
        <v>0</v>
      </c>
      <c r="P103" t="n">
        <v>0</v>
      </c>
      <c r="Q103" t="n">
        <v>0</v>
      </c>
      <c r="R103" t="n">
        <v>0</v>
      </c>
      <c r="S103" t="n">
        <v>0</v>
      </c>
      <c r="T103" t="n">
        <v>0</v>
      </c>
      <c r="U103" s="2" t="inlineStr"/>
    </row>
    <row r="104" ht="15" customHeight="1">
      <c r="A104" t="inlineStr">
        <is>
          <t>A 21295-2023</t>
        </is>
      </c>
      <c r="B104" t="inlineStr">
        <is>
          <t>avverkningsanmälan</t>
        </is>
      </c>
      <c r="C104" t="inlineStr">
        <is>
          <t>Föryngringsavverkning</t>
        </is>
      </c>
      <c r="D104" s="1" t="n">
        <v>45062</v>
      </c>
      <c r="E104" s="1" t="n">
        <v>46223</v>
      </c>
      <c r="F104" t="inlineStr">
        <is>
          <t>VÄRMLANDS LÄN</t>
        </is>
      </c>
      <c r="G104" t="inlineStr">
        <is>
          <t>FORSHAGA</t>
        </is>
      </c>
      <c r="H104" t="inlineStr">
        <is>
          <t>Bergvik skog väst AB</t>
        </is>
      </c>
      <c r="I104" t="n">
        <v>0.3</v>
      </c>
      <c r="J104" t="n">
        <v>0</v>
      </c>
      <c r="K104" t="n">
        <v>0</v>
      </c>
      <c r="L104" t="n">
        <v>0</v>
      </c>
      <c r="M104" t="n">
        <v>0</v>
      </c>
      <c r="N104" t="n">
        <v>0</v>
      </c>
      <c r="O104" t="n">
        <v>0</v>
      </c>
      <c r="P104" t="n">
        <v>0</v>
      </c>
      <c r="Q104" t="n">
        <v>0</v>
      </c>
      <c r="R104" t="n">
        <v>0</v>
      </c>
      <c r="S104" t="n">
        <v>0</v>
      </c>
      <c r="T104" t="n">
        <v>0</v>
      </c>
      <c r="U104" s="2" t="inlineStr"/>
    </row>
    <row r="105" ht="15" customHeight="1">
      <c r="A105" t="inlineStr">
        <is>
          <t>A 5971-2026</t>
        </is>
      </c>
      <c r="B105" t="inlineStr">
        <is>
          <t>avverkningsanmälan</t>
        </is>
      </c>
      <c r="C105" t="inlineStr">
        <is>
          <t>Föryngringsavverkning</t>
        </is>
      </c>
      <c r="D105" s="1" t="n">
        <v>46052</v>
      </c>
      <c r="E105" s="1" t="n">
        <v>46223</v>
      </c>
      <c r="F105" t="inlineStr">
        <is>
          <t>VÄRMLANDS LÄN</t>
        </is>
      </c>
      <c r="G105" t="inlineStr">
        <is>
          <t>FORSHAGA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46868-2025</t>
        </is>
      </c>
      <c r="B106" t="inlineStr">
        <is>
          <t>avverkningsanmälan</t>
        </is>
      </c>
      <c r="C106" t="inlineStr">
        <is>
          <t>Föryngringsavverkning</t>
        </is>
      </c>
      <c r="D106" s="1" t="n">
        <v>45929</v>
      </c>
      <c r="E106" s="1" t="n">
        <v>46223</v>
      </c>
      <c r="F106" t="inlineStr">
        <is>
          <t>VÄRMLANDS LÄN</t>
        </is>
      </c>
      <c r="G106" t="inlineStr">
        <is>
          <t>FORSHAGA</t>
        </is>
      </c>
      <c r="I106" t="n">
        <v>1.8</v>
      </c>
      <c r="J106" t="n">
        <v>0</v>
      </c>
      <c r="K106" t="n">
        <v>0</v>
      </c>
      <c r="L106" t="n">
        <v>0</v>
      </c>
      <c r="M106" t="n">
        <v>0</v>
      </c>
      <c r="N106" t="n">
        <v>0</v>
      </c>
      <c r="O106" t="n">
        <v>0</v>
      </c>
      <c r="P106" t="n">
        <v>0</v>
      </c>
      <c r="Q106" t="n">
        <v>0</v>
      </c>
      <c r="R106" t="n">
        <v>0</v>
      </c>
      <c r="S106" t="n">
        <v>0</v>
      </c>
      <c r="T106" t="n">
        <v>0</v>
      </c>
      <c r="U106" s="2" t="inlineStr"/>
    </row>
    <row r="107" ht="15" customHeight="1">
      <c r="A107" t="inlineStr">
        <is>
          <t>A 58121-2024</t>
        </is>
      </c>
      <c r="B107" t="inlineStr">
        <is>
          <t>avverkningsanmälan</t>
        </is>
      </c>
      <c r="C107" t="inlineStr">
        <is>
          <t>Föryngringsavverkning</t>
        </is>
      </c>
      <c r="D107" s="1" t="n">
        <v>45632</v>
      </c>
      <c r="E107" s="1" t="n">
        <v>46223</v>
      </c>
      <c r="F107" t="inlineStr">
        <is>
          <t>VÄRMLANDS LÄN</t>
        </is>
      </c>
      <c r="G107" t="inlineStr">
        <is>
          <t>FORSHAGA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9524-2024</t>
        </is>
      </c>
      <c r="B108" t="inlineStr">
        <is>
          <t>avverkningsanmälan</t>
        </is>
      </c>
      <c r="C108" t="inlineStr">
        <is>
          <t>Avverkning för annat ändamål</t>
        </is>
      </c>
      <c r="D108" s="1" t="n">
        <v>45359</v>
      </c>
      <c r="E108" s="1" t="n">
        <v>46223</v>
      </c>
      <c r="F108" t="inlineStr">
        <is>
          <t>VÄRMLANDS LÄN</t>
        </is>
      </c>
      <c r="G108" t="inlineStr">
        <is>
          <t>FORSHAGA</t>
        </is>
      </c>
      <c r="H108" t="inlineStr">
        <is>
          <t>Kommuner</t>
        </is>
      </c>
      <c r="I108" t="n">
        <v>1.1</v>
      </c>
      <c r="J108" t="n">
        <v>0</v>
      </c>
      <c r="K108" t="n">
        <v>0</v>
      </c>
      <c r="L108" t="n">
        <v>0</v>
      </c>
      <c r="M108" t="n">
        <v>0</v>
      </c>
      <c r="N108" t="n">
        <v>0</v>
      </c>
      <c r="O108" t="n">
        <v>0</v>
      </c>
      <c r="P108" t="n">
        <v>0</v>
      </c>
      <c r="Q108" t="n">
        <v>0</v>
      </c>
      <c r="R108" t="n">
        <v>0</v>
      </c>
      <c r="S108" t="n">
        <v>0</v>
      </c>
      <c r="T108" t="n">
        <v>0</v>
      </c>
      <c r="U108" s="2" t="inlineStr"/>
    </row>
    <row r="109" ht="15" customHeight="1">
      <c r="A109" t="inlineStr">
        <is>
          <t>A 55835-2024</t>
        </is>
      </c>
      <c r="B109" t="inlineStr">
        <is>
          <t>avverkningsanmälan</t>
        </is>
      </c>
      <c r="C109" t="inlineStr">
        <is>
          <t>Föryngringsavverkning</t>
        </is>
      </c>
      <c r="D109" s="1" t="n">
        <v>45623</v>
      </c>
      <c r="E109" s="1" t="n">
        <v>46223</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47893-2025</t>
        </is>
      </c>
      <c r="B110" t="inlineStr">
        <is>
          <t>avverkningsanmälan</t>
        </is>
      </c>
      <c r="C110" t="inlineStr">
        <is>
          <t>Föryngringsavverkning</t>
        </is>
      </c>
      <c r="D110" s="1" t="n">
        <v>45932</v>
      </c>
      <c r="E110" s="1" t="n">
        <v>46223</v>
      </c>
      <c r="F110" t="inlineStr">
        <is>
          <t>VÄRMLANDS LÄN</t>
        </is>
      </c>
      <c r="G110" t="inlineStr">
        <is>
          <t>FORSHAGA</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47917-2025</t>
        </is>
      </c>
      <c r="B111" t="inlineStr">
        <is>
          <t>avverkningsanmälan</t>
        </is>
      </c>
      <c r="C111" t="inlineStr">
        <is>
          <t>Föryngringsavverkning</t>
        </is>
      </c>
      <c r="D111" s="1" t="n">
        <v>45932</v>
      </c>
      <c r="E111" s="1" t="n">
        <v>46223</v>
      </c>
      <c r="F111" t="inlineStr">
        <is>
          <t>VÄRMLANDS LÄN</t>
        </is>
      </c>
      <c r="G111" t="inlineStr">
        <is>
          <t>FORSHAGA</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47940-2025</t>
        </is>
      </c>
      <c r="B112" t="inlineStr">
        <is>
          <t>avverkningsanmälan</t>
        </is>
      </c>
      <c r="C112" t="inlineStr">
        <is>
          <t>Föryngringsavverkning</t>
        </is>
      </c>
      <c r="D112" s="1" t="n">
        <v>45932</v>
      </c>
      <c r="E112" s="1" t="n">
        <v>46223</v>
      </c>
      <c r="F112" t="inlineStr">
        <is>
          <t>VÄRMLANDS LÄN</t>
        </is>
      </c>
      <c r="G112" t="inlineStr">
        <is>
          <t>FORSHAGA</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60045-2022</t>
        </is>
      </c>
      <c r="B113" t="inlineStr">
        <is>
          <t>avverkningsanmälan</t>
        </is>
      </c>
      <c r="C113" t="inlineStr">
        <is>
          <t>Föryngringsavverkning</t>
        </is>
      </c>
      <c r="D113" s="1" t="n">
        <v>44902</v>
      </c>
      <c r="E113" s="1" t="n">
        <v>46223</v>
      </c>
      <c r="F113" t="inlineStr">
        <is>
          <t>VÄRMLANDS LÄN</t>
        </is>
      </c>
      <c r="G113" t="inlineStr">
        <is>
          <t>FORSHAGA</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67617-2021</t>
        </is>
      </c>
      <c r="B114" t="inlineStr">
        <is>
          <t>avverkningsanmälan</t>
        </is>
      </c>
      <c r="C114" t="inlineStr">
        <is>
          <t>Föryngringsavverkning</t>
        </is>
      </c>
      <c r="D114" s="1" t="n">
        <v>44524</v>
      </c>
      <c r="E114" s="1" t="n">
        <v>46223</v>
      </c>
      <c r="F114" t="inlineStr">
        <is>
          <t>VÄRMLANDS LÄN</t>
        </is>
      </c>
      <c r="G114" t="inlineStr">
        <is>
          <t>FORSHAGA</t>
        </is>
      </c>
      <c r="I114" t="n">
        <v>6.5</v>
      </c>
      <c r="J114" t="n">
        <v>0</v>
      </c>
      <c r="K114" t="n">
        <v>0</v>
      </c>
      <c r="L114" t="n">
        <v>0</v>
      </c>
      <c r="M114" t="n">
        <v>0</v>
      </c>
      <c r="N114" t="n">
        <v>0</v>
      </c>
      <c r="O114" t="n">
        <v>0</v>
      </c>
      <c r="P114" t="n">
        <v>0</v>
      </c>
      <c r="Q114" t="n">
        <v>0</v>
      </c>
      <c r="R114" t="n">
        <v>0</v>
      </c>
      <c r="S114" t="n">
        <v>0</v>
      </c>
      <c r="T114" t="n">
        <v>0</v>
      </c>
      <c r="U114" s="2" t="inlineStr"/>
    </row>
    <row r="115" ht="15" customHeight="1">
      <c r="A115" t="inlineStr">
        <is>
          <t>A 39213-2023</t>
        </is>
      </c>
      <c r="B115" t="inlineStr">
        <is>
          <t>avverkningsanmälan</t>
        </is>
      </c>
      <c r="C115" t="inlineStr">
        <is>
          <t>Föryngringsavverkning</t>
        </is>
      </c>
      <c r="D115" s="1" t="n">
        <v>45166</v>
      </c>
      <c r="E115" s="1" t="n">
        <v>46223</v>
      </c>
      <c r="F115" t="inlineStr">
        <is>
          <t>VÄRMLANDS LÄN</t>
        </is>
      </c>
      <c r="G115" t="inlineStr">
        <is>
          <t>FORSHAGA</t>
        </is>
      </c>
      <c r="H115" t="inlineStr">
        <is>
          <t>Kommuner</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23117-2023</t>
        </is>
      </c>
      <c r="B116" t="inlineStr">
        <is>
          <t>avverkningsanmälan</t>
        </is>
      </c>
      <c r="C116" t="inlineStr">
        <is>
          <t>Föryngringsavverkning</t>
        </is>
      </c>
      <c r="D116" s="1" t="n">
        <v>45075</v>
      </c>
      <c r="E116" s="1" t="n">
        <v>46223</v>
      </c>
      <c r="F116" t="inlineStr">
        <is>
          <t>VÄRMLANDS LÄN</t>
        </is>
      </c>
      <c r="G116" t="inlineStr">
        <is>
          <t>FORSHAGA</t>
        </is>
      </c>
      <c r="H116" t="inlineStr">
        <is>
          <t>Kyrkan</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17135-2025</t>
        </is>
      </c>
      <c r="B117" t="inlineStr">
        <is>
          <t>avverkningsanmälan</t>
        </is>
      </c>
      <c r="C117" t="inlineStr">
        <is>
          <t>Föryngringsavverkning</t>
        </is>
      </c>
      <c r="D117" s="1" t="n">
        <v>45755</v>
      </c>
      <c r="E117" s="1" t="n">
        <v>46223</v>
      </c>
      <c r="F117" t="inlineStr">
        <is>
          <t>VÄRMLANDS LÄN</t>
        </is>
      </c>
      <c r="G117" t="inlineStr">
        <is>
          <t>FORSHAGA</t>
        </is>
      </c>
      <c r="I117" t="n">
        <v>10.3</v>
      </c>
      <c r="J117" t="n">
        <v>0</v>
      </c>
      <c r="K117" t="n">
        <v>0</v>
      </c>
      <c r="L117" t="n">
        <v>0</v>
      </c>
      <c r="M117" t="n">
        <v>0</v>
      </c>
      <c r="N117" t="n">
        <v>0</v>
      </c>
      <c r="O117" t="n">
        <v>0</v>
      </c>
      <c r="P117" t="n">
        <v>0</v>
      </c>
      <c r="Q117" t="n">
        <v>0</v>
      </c>
      <c r="R117" t="n">
        <v>0</v>
      </c>
      <c r="S117" t="n">
        <v>0</v>
      </c>
      <c r="T117" t="n">
        <v>0</v>
      </c>
      <c r="U117" s="2" t="inlineStr"/>
    </row>
    <row r="118" ht="15" customHeight="1">
      <c r="A118" t="inlineStr">
        <is>
          <t>A 48647-2024</t>
        </is>
      </c>
      <c r="B118" t="inlineStr">
        <is>
          <t>avverkningsanmälan</t>
        </is>
      </c>
      <c r="C118" t="inlineStr">
        <is>
          <t>Föryngringsavverkning</t>
        </is>
      </c>
      <c r="D118" s="1" t="n">
        <v>45593</v>
      </c>
      <c r="E118" s="1" t="n">
        <v>46223</v>
      </c>
      <c r="F118" t="inlineStr">
        <is>
          <t>VÄRMLANDS LÄN</t>
        </is>
      </c>
      <c r="G118" t="inlineStr">
        <is>
          <t>FORSHAGA</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51123-2025</t>
        </is>
      </c>
      <c r="B119" t="inlineStr">
        <is>
          <t>avverkningsanmälan</t>
        </is>
      </c>
      <c r="C119" t="inlineStr">
        <is>
          <t>Föryngringsavverkning</t>
        </is>
      </c>
      <c r="D119" s="1" t="n">
        <v>45947</v>
      </c>
      <c r="E119" s="1" t="n">
        <v>46223</v>
      </c>
      <c r="F119" t="inlineStr">
        <is>
          <t>VÄRMLANDS LÄN</t>
        </is>
      </c>
      <c r="G119" t="inlineStr">
        <is>
          <t>FORSHAGA</t>
        </is>
      </c>
      <c r="I119" t="n">
        <v>3.1</v>
      </c>
      <c r="J119" t="n">
        <v>0</v>
      </c>
      <c r="K119" t="n">
        <v>0</v>
      </c>
      <c r="L119" t="n">
        <v>0</v>
      </c>
      <c r="M119" t="n">
        <v>0</v>
      </c>
      <c r="N119" t="n">
        <v>0</v>
      </c>
      <c r="O119" t="n">
        <v>0</v>
      </c>
      <c r="P119" t="n">
        <v>0</v>
      </c>
      <c r="Q119" t="n">
        <v>0</v>
      </c>
      <c r="R119" t="n">
        <v>0</v>
      </c>
      <c r="S119" t="n">
        <v>0</v>
      </c>
      <c r="T119" t="n">
        <v>0</v>
      </c>
      <c r="U119" s="2" t="inlineStr"/>
    </row>
    <row r="120" ht="15" customHeight="1">
      <c r="A120" t="inlineStr">
        <is>
          <t>A 35831-2023</t>
        </is>
      </c>
      <c r="B120" t="inlineStr">
        <is>
          <t>avverkningsanmälan</t>
        </is>
      </c>
      <c r="C120" t="inlineStr">
        <is>
          <t>Föryngringsavverkning</t>
        </is>
      </c>
      <c r="D120" s="1" t="n">
        <v>45148</v>
      </c>
      <c r="E120" s="1" t="n">
        <v>46223</v>
      </c>
      <c r="F120" t="inlineStr">
        <is>
          <t>VÄRMLANDS LÄN</t>
        </is>
      </c>
      <c r="G120" t="inlineStr">
        <is>
          <t>FORSHAGA</t>
        </is>
      </c>
      <c r="H120" t="inlineStr">
        <is>
          <t>Kommuner</t>
        </is>
      </c>
      <c r="I120" t="n">
        <v>2.2</v>
      </c>
      <c r="J120" t="n">
        <v>0</v>
      </c>
      <c r="K120" t="n">
        <v>0</v>
      </c>
      <c r="L120" t="n">
        <v>0</v>
      </c>
      <c r="M120" t="n">
        <v>0</v>
      </c>
      <c r="N120" t="n">
        <v>0</v>
      </c>
      <c r="O120" t="n">
        <v>0</v>
      </c>
      <c r="P120" t="n">
        <v>0</v>
      </c>
      <c r="Q120" t="n">
        <v>0</v>
      </c>
      <c r="R120" t="n">
        <v>0</v>
      </c>
      <c r="S120" t="n">
        <v>0</v>
      </c>
      <c r="T120" t="n">
        <v>0</v>
      </c>
      <c r="U120" s="2" t="inlineStr"/>
    </row>
    <row r="121" ht="15" customHeight="1">
      <c r="A121" t="inlineStr">
        <is>
          <t>A 35863-2023</t>
        </is>
      </c>
      <c r="B121" t="inlineStr">
        <is>
          <t>avverkningsanmälan</t>
        </is>
      </c>
      <c r="C121" t="inlineStr">
        <is>
          <t>Föryngringsavverkning</t>
        </is>
      </c>
      <c r="D121" s="1" t="n">
        <v>45148</v>
      </c>
      <c r="E121" s="1" t="n">
        <v>46223</v>
      </c>
      <c r="F121" t="inlineStr">
        <is>
          <t>VÄRMLANDS LÄN</t>
        </is>
      </c>
      <c r="G121" t="inlineStr">
        <is>
          <t>FORSHAGA</t>
        </is>
      </c>
      <c r="H121" t="inlineStr">
        <is>
          <t>Kommuner</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10987-2026</t>
        </is>
      </c>
      <c r="B122" t="inlineStr">
        <is>
          <t>avverkningsanmälan</t>
        </is>
      </c>
      <c r="C122" t="inlineStr">
        <is>
          <t>Föryngringsavverkning</t>
        </is>
      </c>
      <c r="D122" s="1" t="n">
        <v>46079</v>
      </c>
      <c r="E122" s="1" t="n">
        <v>46223</v>
      </c>
      <c r="F122" t="inlineStr">
        <is>
          <t>VÄRMLANDS LÄN</t>
        </is>
      </c>
      <c r="G122" t="inlineStr">
        <is>
          <t>FORSHAGA</t>
        </is>
      </c>
      <c r="H122" t="inlineStr">
        <is>
          <t>Bergvik skog väst AB</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45751-2021</t>
        </is>
      </c>
      <c r="B123" t="inlineStr">
        <is>
          <t>avverkningsanmälan</t>
        </is>
      </c>
      <c r="C123" t="inlineStr">
        <is>
          <t>Föryngringsavverkning</t>
        </is>
      </c>
      <c r="D123" s="1" t="n">
        <v>44441</v>
      </c>
      <c r="E123" s="1" t="n">
        <v>46223</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16885-2025</t>
        </is>
      </c>
      <c r="B124" t="inlineStr">
        <is>
          <t>avverkningsanmälan</t>
        </is>
      </c>
      <c r="C124" t="inlineStr">
        <is>
          <t>Föryngringsavverkning</t>
        </is>
      </c>
      <c r="D124" s="1" t="n">
        <v>45755</v>
      </c>
      <c r="E124" s="1" t="n">
        <v>46223</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s="2" t="inlineStr"/>
    </row>
    <row r="125" ht="15" customHeight="1">
      <c r="A125" t="inlineStr">
        <is>
          <t>A 55433-2025</t>
        </is>
      </c>
      <c r="B125" t="inlineStr">
        <is>
          <t>avverkningsanmälan</t>
        </is>
      </c>
      <c r="C125" t="inlineStr">
        <is>
          <t>Föryngringsavverkning</t>
        </is>
      </c>
      <c r="D125" s="1" t="n">
        <v>45971</v>
      </c>
      <c r="E125" s="1" t="n">
        <v>46223</v>
      </c>
      <c r="F125" t="inlineStr">
        <is>
          <t>VÄRMLANDS LÄN</t>
        </is>
      </c>
      <c r="G125" t="inlineStr">
        <is>
          <t>FORSHAGA</t>
        </is>
      </c>
      <c r="I125" t="n">
        <v>14.2</v>
      </c>
      <c r="J125" t="n">
        <v>0</v>
      </c>
      <c r="K125" t="n">
        <v>0</v>
      </c>
      <c r="L125" t="n">
        <v>0</v>
      </c>
      <c r="M125" t="n">
        <v>0</v>
      </c>
      <c r="N125" t="n">
        <v>0</v>
      </c>
      <c r="O125" t="n">
        <v>0</v>
      </c>
      <c r="P125" t="n">
        <v>0</v>
      </c>
      <c r="Q125" t="n">
        <v>0</v>
      </c>
      <c r="R125" t="n">
        <v>0</v>
      </c>
      <c r="S125" t="n">
        <v>0</v>
      </c>
      <c r="T125" t="n">
        <v>0</v>
      </c>
      <c r="U125" s="2" t="inlineStr"/>
    </row>
    <row r="126" ht="15" customHeight="1">
      <c r="A126" t="inlineStr">
        <is>
          <t>A 12086-2026</t>
        </is>
      </c>
      <c r="B126" t="inlineStr">
        <is>
          <t>avverkningsanmälan</t>
        </is>
      </c>
      <c r="C126" t="inlineStr">
        <is>
          <t>Avverkning för att bevara och utveckla /försöksver</t>
        </is>
      </c>
      <c r="D126" s="1" t="n">
        <v>46086</v>
      </c>
      <c r="E126" s="1" t="n">
        <v>46223</v>
      </c>
      <c r="F126" t="inlineStr">
        <is>
          <t>VÄRMLANDS LÄN</t>
        </is>
      </c>
      <c r="G126" t="inlineStr">
        <is>
          <t>FORSHAGA</t>
        </is>
      </c>
      <c r="H126" t="inlineStr">
        <is>
          <t>Bergvik skog väst AB</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59090-2025</t>
        </is>
      </c>
      <c r="B127" t="inlineStr">
        <is>
          <t>avverkningsanmälan</t>
        </is>
      </c>
      <c r="C127" t="inlineStr">
        <is>
          <t>Föryngringsavverkning</t>
        </is>
      </c>
      <c r="D127" s="1" t="n">
        <v>45988</v>
      </c>
      <c r="E127" s="1" t="n">
        <v>46223</v>
      </c>
      <c r="F127" t="inlineStr">
        <is>
          <t>VÄRMLANDS LÄN</t>
        </is>
      </c>
      <c r="G127" t="inlineStr">
        <is>
          <t>FORSHAGA</t>
        </is>
      </c>
      <c r="I127" t="n">
        <v>1.3</v>
      </c>
      <c r="J127" t="n">
        <v>0</v>
      </c>
      <c r="K127" t="n">
        <v>0</v>
      </c>
      <c r="L127" t="n">
        <v>0</v>
      </c>
      <c r="M127" t="n">
        <v>0</v>
      </c>
      <c r="N127" t="n">
        <v>0</v>
      </c>
      <c r="O127" t="n">
        <v>0</v>
      </c>
      <c r="P127" t="n">
        <v>0</v>
      </c>
      <c r="Q127" t="n">
        <v>0</v>
      </c>
      <c r="R127" t="n">
        <v>0</v>
      </c>
      <c r="S127" t="n">
        <v>0</v>
      </c>
      <c r="T127" t="n">
        <v>0</v>
      </c>
      <c r="U127" s="2" t="inlineStr"/>
    </row>
    <row r="128" ht="15" customHeight="1">
      <c r="A128" t="inlineStr">
        <is>
          <t>A 59298-2025</t>
        </is>
      </c>
      <c r="B128" t="inlineStr">
        <is>
          <t>avverkningsanmälan</t>
        </is>
      </c>
      <c r="C128" t="inlineStr">
        <is>
          <t>Föryngringsavverkning</t>
        </is>
      </c>
      <c r="D128" s="1" t="n">
        <v>45988</v>
      </c>
      <c r="E128" s="1" t="n">
        <v>46223</v>
      </c>
      <c r="F128" t="inlineStr">
        <is>
          <t>VÄRMLANDS LÄN</t>
        </is>
      </c>
      <c r="G128" t="inlineStr">
        <is>
          <t>FORSHAGA</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33218-2023</t>
        </is>
      </c>
      <c r="B129" t="inlineStr">
        <is>
          <t>avverkningsanmälan</t>
        </is>
      </c>
      <c r="C129" t="inlineStr">
        <is>
          <t>Föryngringsavverkning</t>
        </is>
      </c>
      <c r="D129" s="1" t="n">
        <v>45127</v>
      </c>
      <c r="E129" s="1" t="n">
        <v>46223</v>
      </c>
      <c r="F129" t="inlineStr">
        <is>
          <t>VÄRMLANDS LÄN</t>
        </is>
      </c>
      <c r="G129" t="inlineStr">
        <is>
          <t>FORSHAGA</t>
        </is>
      </c>
      <c r="H129" t="inlineStr">
        <is>
          <t>Kommuner</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61457-2022</t>
        </is>
      </c>
      <c r="B130" t="inlineStr">
        <is>
          <t>avverkningsanmälan</t>
        </is>
      </c>
      <c r="C130" t="inlineStr">
        <is>
          <t>Föryngringsavverkning</t>
        </is>
      </c>
      <c r="D130" s="1" t="n">
        <v>44916</v>
      </c>
      <c r="E130" s="1" t="n">
        <v>46223</v>
      </c>
      <c r="F130" t="inlineStr">
        <is>
          <t>VÄRMLANDS LÄN</t>
        </is>
      </c>
      <c r="G130" t="inlineStr">
        <is>
          <t>FORSHAGA</t>
        </is>
      </c>
      <c r="I130" t="n">
        <v>4.3</v>
      </c>
      <c r="J130" t="n">
        <v>0</v>
      </c>
      <c r="K130" t="n">
        <v>0</v>
      </c>
      <c r="L130" t="n">
        <v>0</v>
      </c>
      <c r="M130" t="n">
        <v>0</v>
      </c>
      <c r="N130" t="n">
        <v>0</v>
      </c>
      <c r="O130" t="n">
        <v>0</v>
      </c>
      <c r="P130" t="n">
        <v>0</v>
      </c>
      <c r="Q130" t="n">
        <v>0</v>
      </c>
      <c r="R130" t="n">
        <v>0</v>
      </c>
      <c r="S130" t="n">
        <v>0</v>
      </c>
      <c r="T130" t="n">
        <v>0</v>
      </c>
      <c r="U130" s="2" t="inlineStr"/>
    </row>
    <row r="131" ht="15" customHeight="1">
      <c r="A131" t="inlineStr">
        <is>
          <t>A 59933-2025</t>
        </is>
      </c>
      <c r="B131" t="inlineStr">
        <is>
          <t>avverkningsanmälan</t>
        </is>
      </c>
      <c r="C131" t="inlineStr">
        <is>
          <t>Föryngringsavverkning</t>
        </is>
      </c>
      <c r="D131" s="1" t="n">
        <v>45993</v>
      </c>
      <c r="E131" s="1" t="n">
        <v>46223</v>
      </c>
      <c r="F131" t="inlineStr">
        <is>
          <t>VÄRMLANDS LÄN</t>
        </is>
      </c>
      <c r="G131" t="inlineStr">
        <is>
          <t>FORSHAGA</t>
        </is>
      </c>
      <c r="H131" t="inlineStr">
        <is>
          <t>Kyrkan</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59919-2025</t>
        </is>
      </c>
      <c r="B132" t="inlineStr">
        <is>
          <t>avverkningsanmälan</t>
        </is>
      </c>
      <c r="C132" t="inlineStr">
        <is>
          <t>Föryngringsavverkning</t>
        </is>
      </c>
      <c r="D132" s="1" t="n">
        <v>45993</v>
      </c>
      <c r="E132" s="1" t="n">
        <v>46223</v>
      </c>
      <c r="F132" t="inlineStr">
        <is>
          <t>VÄRMLANDS LÄN</t>
        </is>
      </c>
      <c r="G132" t="inlineStr">
        <is>
          <t>FORSHAGA</t>
        </is>
      </c>
      <c r="H132" t="inlineStr">
        <is>
          <t>Kyrkan</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59955-2025</t>
        </is>
      </c>
      <c r="B133" t="inlineStr">
        <is>
          <t>avverkningsanmälan</t>
        </is>
      </c>
      <c r="C133" t="inlineStr">
        <is>
          <t>Föryngringsavverkning</t>
        </is>
      </c>
      <c r="D133" s="1" t="n">
        <v>45993</v>
      </c>
      <c r="E133" s="1" t="n">
        <v>46223</v>
      </c>
      <c r="F133" t="inlineStr">
        <is>
          <t>VÄRMLANDS LÄN</t>
        </is>
      </c>
      <c r="G133" t="inlineStr">
        <is>
          <t>FORSHAGA</t>
        </is>
      </c>
      <c r="H133" t="inlineStr">
        <is>
          <t>Kyrkan</t>
        </is>
      </c>
      <c r="I133" t="n">
        <v>4.6</v>
      </c>
      <c r="J133" t="n">
        <v>0</v>
      </c>
      <c r="K133" t="n">
        <v>0</v>
      </c>
      <c r="L133" t="n">
        <v>0</v>
      </c>
      <c r="M133" t="n">
        <v>0</v>
      </c>
      <c r="N133" t="n">
        <v>0</v>
      </c>
      <c r="O133" t="n">
        <v>0</v>
      </c>
      <c r="P133" t="n">
        <v>0</v>
      </c>
      <c r="Q133" t="n">
        <v>0</v>
      </c>
      <c r="R133" t="n">
        <v>0</v>
      </c>
      <c r="S133" t="n">
        <v>0</v>
      </c>
      <c r="T133" t="n">
        <v>0</v>
      </c>
      <c r="U133" s="2" t="inlineStr"/>
    </row>
    <row r="134" ht="15" customHeight="1">
      <c r="A134" t="inlineStr">
        <is>
          <t>A 34786-2024</t>
        </is>
      </c>
      <c r="B134" t="inlineStr">
        <is>
          <t>avverkningsanmälan</t>
        </is>
      </c>
      <c r="C134" t="inlineStr">
        <is>
          <t>Föryngringsavverkning</t>
        </is>
      </c>
      <c r="D134" s="1" t="n">
        <v>45526</v>
      </c>
      <c r="E134" s="1" t="n">
        <v>46223</v>
      </c>
      <c r="F134" t="inlineStr">
        <is>
          <t>VÄRMLANDS LÄN</t>
        </is>
      </c>
      <c r="G134" t="inlineStr">
        <is>
          <t>FORSHAGA</t>
        </is>
      </c>
      <c r="H134" t="inlineStr">
        <is>
          <t>Bergvik skog väst AB</t>
        </is>
      </c>
      <c r="I134" t="n">
        <v>1.2</v>
      </c>
      <c r="J134" t="n">
        <v>0</v>
      </c>
      <c r="K134" t="n">
        <v>0</v>
      </c>
      <c r="L134" t="n">
        <v>0</v>
      </c>
      <c r="M134" t="n">
        <v>0</v>
      </c>
      <c r="N134" t="n">
        <v>0</v>
      </c>
      <c r="O134" t="n">
        <v>0</v>
      </c>
      <c r="P134" t="n">
        <v>0</v>
      </c>
      <c r="Q134" t="n">
        <v>0</v>
      </c>
      <c r="R134" t="n">
        <v>0</v>
      </c>
      <c r="S134" t="n">
        <v>0</v>
      </c>
      <c r="T134" t="n">
        <v>0</v>
      </c>
      <c r="U134" s="2" t="inlineStr"/>
    </row>
    <row r="135" ht="15" customHeight="1">
      <c r="A135" t="inlineStr">
        <is>
          <t>A 61896-2025</t>
        </is>
      </c>
      <c r="B135" t="inlineStr">
        <is>
          <t>avverkningsanmälan</t>
        </is>
      </c>
      <c r="C135" t="inlineStr">
        <is>
          <t>Föryngringsavverkning</t>
        </is>
      </c>
      <c r="D135" s="1" t="n">
        <v>46003</v>
      </c>
      <c r="E135" s="1" t="n">
        <v>46223</v>
      </c>
      <c r="F135" t="inlineStr">
        <is>
          <t>VÄRMLANDS LÄN</t>
        </is>
      </c>
      <c r="G135" t="inlineStr">
        <is>
          <t>FORSHAGA</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29231-2023</t>
        </is>
      </c>
      <c r="B136" t="inlineStr">
        <is>
          <t>avverkningsanmälan</t>
        </is>
      </c>
      <c r="C136" t="inlineStr">
        <is>
          <t>Föryngringsavverkning</t>
        </is>
      </c>
      <c r="D136" s="1" t="n">
        <v>45105</v>
      </c>
      <c r="E136" s="1" t="n">
        <v>46223</v>
      </c>
      <c r="F136" t="inlineStr">
        <is>
          <t>VÄRMLANDS LÄN</t>
        </is>
      </c>
      <c r="G136" t="inlineStr">
        <is>
          <t>FORSHAGA</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21745-2024</t>
        </is>
      </c>
      <c r="B137" t="inlineStr">
        <is>
          <t>avverkningsanmälan</t>
        </is>
      </c>
      <c r="C137" t="inlineStr">
        <is>
          <t>Föryngringsavverkning</t>
        </is>
      </c>
      <c r="D137" s="1" t="n">
        <v>45442</v>
      </c>
      <c r="E137" s="1" t="n">
        <v>46223</v>
      </c>
      <c r="F137" t="inlineStr">
        <is>
          <t>VÄRMLANDS LÄN</t>
        </is>
      </c>
      <c r="G137" t="inlineStr">
        <is>
          <t>FORSHAGA</t>
        </is>
      </c>
      <c r="I137" t="n">
        <v>2.7</v>
      </c>
      <c r="J137" t="n">
        <v>0</v>
      </c>
      <c r="K137" t="n">
        <v>0</v>
      </c>
      <c r="L137" t="n">
        <v>0</v>
      </c>
      <c r="M137" t="n">
        <v>0</v>
      </c>
      <c r="N137" t="n">
        <v>0</v>
      </c>
      <c r="O137" t="n">
        <v>0</v>
      </c>
      <c r="P137" t="n">
        <v>0</v>
      </c>
      <c r="Q137" t="n">
        <v>0</v>
      </c>
      <c r="R137" t="n">
        <v>0</v>
      </c>
      <c r="S137" t="n">
        <v>0</v>
      </c>
      <c r="T137" t="n">
        <v>0</v>
      </c>
      <c r="U137" s="2" t="inlineStr"/>
    </row>
    <row r="138" ht="15" customHeight="1">
      <c r="A138" t="inlineStr">
        <is>
          <t>A 22362-2024</t>
        </is>
      </c>
      <c r="B138" t="inlineStr">
        <is>
          <t>avverkningsanmälan</t>
        </is>
      </c>
      <c r="C138" t="inlineStr">
        <is>
          <t>Föryngringsavverkning</t>
        </is>
      </c>
      <c r="D138" s="1" t="n">
        <v>45446</v>
      </c>
      <c r="E138" s="1" t="n">
        <v>46223</v>
      </c>
      <c r="F138" t="inlineStr">
        <is>
          <t>VÄRMLANDS LÄN</t>
        </is>
      </c>
      <c r="G138" t="inlineStr">
        <is>
          <t>FORSHAGA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19323-2023</t>
        </is>
      </c>
      <c r="B139" t="inlineStr">
        <is>
          <t>avverkningsanmälan</t>
        </is>
      </c>
      <c r="C139" t="inlineStr">
        <is>
          <t>Föryngringsavverkning</t>
        </is>
      </c>
      <c r="D139" s="1" t="n">
        <v>45049</v>
      </c>
      <c r="E139" s="1" t="n">
        <v>46223</v>
      </c>
      <c r="F139" t="inlineStr">
        <is>
          <t>VÄRMLANDS LÄN</t>
        </is>
      </c>
      <c r="G139" t="inlineStr">
        <is>
          <t>FORSHAGA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32680-2023</t>
        </is>
      </c>
      <c r="B140" t="inlineStr">
        <is>
          <t>avverkningsanmälan</t>
        </is>
      </c>
      <c r="C140" t="inlineStr">
        <is>
          <t>Föryngringsavverkning</t>
        </is>
      </c>
      <c r="D140" s="1" t="n">
        <v>45121</v>
      </c>
      <c r="E140" s="1" t="n">
        <v>46223</v>
      </c>
      <c r="F140" t="inlineStr">
        <is>
          <t>VÄRMLANDS LÄN</t>
        </is>
      </c>
      <c r="G140" t="inlineStr">
        <is>
          <t>FORSHAGA</t>
        </is>
      </c>
      <c r="H140" t="inlineStr">
        <is>
          <t>Kommuner</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15463-2026</t>
        </is>
      </c>
      <c r="B141" t="inlineStr">
        <is>
          <t>avverkningsanmälan</t>
        </is>
      </c>
      <c r="C141" t="inlineStr">
        <is>
          <t>Föryngringsavverkning</t>
        </is>
      </c>
      <c r="D141" s="1" t="n">
        <v>46106</v>
      </c>
      <c r="E141" s="1" t="n">
        <v>46223</v>
      </c>
      <c r="F141" t="inlineStr">
        <is>
          <t>VÄRMLANDS LÄN</t>
        </is>
      </c>
      <c r="G141" t="inlineStr">
        <is>
          <t>FORSHAGA</t>
        </is>
      </c>
      <c r="H141" t="inlineStr">
        <is>
          <t>Bergvik skog väst AB</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827-2026</t>
        </is>
      </c>
      <c r="B142" t="inlineStr">
        <is>
          <t>avverkningsanmälan</t>
        </is>
      </c>
      <c r="C142" t="inlineStr">
        <is>
          <t>Föryngringsavverkning</t>
        </is>
      </c>
      <c r="D142" s="1" t="n">
        <v>46030</v>
      </c>
      <c r="E142" s="1" t="n">
        <v>46223</v>
      </c>
      <c r="F142" t="inlineStr">
        <is>
          <t>VÄRMLANDS LÄN</t>
        </is>
      </c>
      <c r="G142" t="inlineStr">
        <is>
          <t>FORSHAGA</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73267-2021</t>
        </is>
      </c>
      <c r="B143" t="inlineStr">
        <is>
          <t>avverkningsanmälan</t>
        </is>
      </c>
      <c r="C143" t="inlineStr">
        <is>
          <t>Föryngringsavverkning</t>
        </is>
      </c>
      <c r="D143" s="1" t="n">
        <v>44550</v>
      </c>
      <c r="E143" s="1" t="n">
        <v>46223</v>
      </c>
      <c r="F143" t="inlineStr">
        <is>
          <t>VÄRMLANDS LÄN</t>
        </is>
      </c>
      <c r="G143" t="inlineStr">
        <is>
          <t>FORSHAGA</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48630-2024</t>
        </is>
      </c>
      <c r="B144" t="inlineStr">
        <is>
          <t>avverkningsanmälan</t>
        </is>
      </c>
      <c r="C144" t="inlineStr">
        <is>
          <t>Föryngringsavverkning</t>
        </is>
      </c>
      <c r="D144" s="1" t="n">
        <v>45593</v>
      </c>
      <c r="E144" s="1" t="n">
        <v>46223</v>
      </c>
      <c r="F144" t="inlineStr">
        <is>
          <t>VÄRMLANDS LÄN</t>
        </is>
      </c>
      <c r="G144" t="inlineStr">
        <is>
          <t>FORSHAGA</t>
        </is>
      </c>
      <c r="I144" t="n">
        <v>7.5</v>
      </c>
      <c r="J144" t="n">
        <v>0</v>
      </c>
      <c r="K144" t="n">
        <v>0</v>
      </c>
      <c r="L144" t="n">
        <v>0</v>
      </c>
      <c r="M144" t="n">
        <v>0</v>
      </c>
      <c r="N144" t="n">
        <v>0</v>
      </c>
      <c r="O144" t="n">
        <v>0</v>
      </c>
      <c r="P144" t="n">
        <v>0</v>
      </c>
      <c r="Q144" t="n">
        <v>0</v>
      </c>
      <c r="R144" t="n">
        <v>0</v>
      </c>
      <c r="S144" t="n">
        <v>0</v>
      </c>
      <c r="T144" t="n">
        <v>0</v>
      </c>
      <c r="U144" s="2" t="inlineStr"/>
    </row>
    <row r="145" ht="15" customHeight="1">
      <c r="A145" t="inlineStr">
        <is>
          <t>A 16109-2026</t>
        </is>
      </c>
      <c r="B145" t="inlineStr">
        <is>
          <t>avverkningsanmälan</t>
        </is>
      </c>
      <c r="C145" t="inlineStr">
        <is>
          <t>Föryngringsavverkning</t>
        </is>
      </c>
      <c r="D145" s="1" t="n">
        <v>46108</v>
      </c>
      <c r="E145" s="1" t="n">
        <v>46223</v>
      </c>
      <c r="F145" t="inlineStr">
        <is>
          <t>VÄRMLANDS LÄN</t>
        </is>
      </c>
      <c r="G145" t="inlineStr">
        <is>
          <t>FORSHAGA</t>
        </is>
      </c>
      <c r="H145" t="inlineStr">
        <is>
          <t>Bergvik skog väst AB</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23451-2024</t>
        </is>
      </c>
      <c r="B146" t="inlineStr">
        <is>
          <t>avverkningsanmälan</t>
        </is>
      </c>
      <c r="C146" t="inlineStr">
        <is>
          <t>Föryngringsavverkning</t>
        </is>
      </c>
      <c r="D146" s="1" t="n">
        <v>45453</v>
      </c>
      <c r="E146" s="1" t="n">
        <v>46223</v>
      </c>
      <c r="F146" t="inlineStr">
        <is>
          <t>VÄRMLANDS LÄN</t>
        </is>
      </c>
      <c r="G146" t="inlineStr">
        <is>
          <t>FORSHAGA</t>
        </is>
      </c>
      <c r="I146" t="n">
        <v>6.1</v>
      </c>
      <c r="J146" t="n">
        <v>0</v>
      </c>
      <c r="K146" t="n">
        <v>0</v>
      </c>
      <c r="L146" t="n">
        <v>0</v>
      </c>
      <c r="M146" t="n">
        <v>0</v>
      </c>
      <c r="N146" t="n">
        <v>0</v>
      </c>
      <c r="O146" t="n">
        <v>0</v>
      </c>
      <c r="P146" t="n">
        <v>0</v>
      </c>
      <c r="Q146" t="n">
        <v>0</v>
      </c>
      <c r="R146" t="n">
        <v>0</v>
      </c>
      <c r="S146" t="n">
        <v>0</v>
      </c>
      <c r="T146" t="n">
        <v>0</v>
      </c>
      <c r="U146" s="2" t="inlineStr"/>
    </row>
    <row r="147" ht="15" customHeight="1">
      <c r="A147" t="inlineStr">
        <is>
          <t>A 28321-2023</t>
        </is>
      </c>
      <c r="B147" t="inlineStr">
        <is>
          <t>avverkningsanmälan</t>
        </is>
      </c>
      <c r="C147" t="inlineStr">
        <is>
          <t>Föryngringsavverkning</t>
        </is>
      </c>
      <c r="D147" s="1" t="n">
        <v>45099</v>
      </c>
      <c r="E147" s="1" t="n">
        <v>46223</v>
      </c>
      <c r="F147" t="inlineStr">
        <is>
          <t>VÄRMLANDS LÄN</t>
        </is>
      </c>
      <c r="G147" t="inlineStr">
        <is>
          <t>FORSHAGA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17720-2026</t>
        </is>
      </c>
      <c r="B148" t="inlineStr">
        <is>
          <t>avverkningsanmälan</t>
        </is>
      </c>
      <c r="C148" t="inlineStr">
        <is>
          <t>Föryngringsavverkning</t>
        </is>
      </c>
      <c r="D148" s="1" t="n">
        <v>46121</v>
      </c>
      <c r="E148" s="1" t="n">
        <v>46223</v>
      </c>
      <c r="F148" t="inlineStr">
        <is>
          <t>VÄRMLANDS LÄN</t>
        </is>
      </c>
      <c r="G148" t="inlineStr">
        <is>
          <t>FORSHAGA</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25008-2023</t>
        </is>
      </c>
      <c r="B149" t="inlineStr">
        <is>
          <t>avverkningsanmälan</t>
        </is>
      </c>
      <c r="C149" t="inlineStr">
        <is>
          <t>Föryngringsavverkning</t>
        </is>
      </c>
      <c r="D149" s="1" t="n">
        <v>45085</v>
      </c>
      <c r="E149" s="1" t="n">
        <v>46223</v>
      </c>
      <c r="F149" t="inlineStr">
        <is>
          <t>VÄRMLANDS LÄN</t>
        </is>
      </c>
      <c r="G149" t="inlineStr">
        <is>
          <t>FORSHAGA</t>
        </is>
      </c>
      <c r="I149" t="n">
        <v>3.2</v>
      </c>
      <c r="J149" t="n">
        <v>0</v>
      </c>
      <c r="K149" t="n">
        <v>0</v>
      </c>
      <c r="L149" t="n">
        <v>0</v>
      </c>
      <c r="M149" t="n">
        <v>0</v>
      </c>
      <c r="N149" t="n">
        <v>0</v>
      </c>
      <c r="O149" t="n">
        <v>0</v>
      </c>
      <c r="P149" t="n">
        <v>0</v>
      </c>
      <c r="Q149" t="n">
        <v>0</v>
      </c>
      <c r="R149" t="n">
        <v>0</v>
      </c>
      <c r="S149" t="n">
        <v>0</v>
      </c>
      <c r="T149" t="n">
        <v>0</v>
      </c>
      <c r="U149" s="2" t="inlineStr"/>
    </row>
    <row r="150" ht="15" customHeight="1">
      <c r="A150" t="inlineStr">
        <is>
          <t>A 17897-2026</t>
        </is>
      </c>
      <c r="B150" t="inlineStr">
        <is>
          <t>avverkningsanmälan</t>
        </is>
      </c>
      <c r="C150" t="inlineStr">
        <is>
          <t>Föryngringsavverkning</t>
        </is>
      </c>
      <c r="D150" s="1" t="n">
        <v>46122</v>
      </c>
      <c r="E150" s="1" t="n">
        <v>46223</v>
      </c>
      <c r="F150" t="inlineStr">
        <is>
          <t>VÄRMLANDS LÄN</t>
        </is>
      </c>
      <c r="G150" t="inlineStr">
        <is>
          <t>FORSHAGA</t>
        </is>
      </c>
      <c r="H150" t="inlineStr">
        <is>
          <t>Bergvik skog väst AB</t>
        </is>
      </c>
      <c r="I150" t="n">
        <v>8.4</v>
      </c>
      <c r="J150" t="n">
        <v>0</v>
      </c>
      <c r="K150" t="n">
        <v>0</v>
      </c>
      <c r="L150" t="n">
        <v>0</v>
      </c>
      <c r="M150" t="n">
        <v>0</v>
      </c>
      <c r="N150" t="n">
        <v>0</v>
      </c>
      <c r="O150" t="n">
        <v>0</v>
      </c>
      <c r="P150" t="n">
        <v>0</v>
      </c>
      <c r="Q150" t="n">
        <v>0</v>
      </c>
      <c r="R150" t="n">
        <v>0</v>
      </c>
      <c r="S150" t="n">
        <v>0</v>
      </c>
      <c r="T150" t="n">
        <v>0</v>
      </c>
      <c r="U150" s="2" t="inlineStr"/>
    </row>
    <row r="151" ht="15" customHeight="1">
      <c r="A151" t="inlineStr">
        <is>
          <t>A 33219-2023</t>
        </is>
      </c>
      <c r="B151" t="inlineStr">
        <is>
          <t>avverkningsanmälan</t>
        </is>
      </c>
      <c r="C151" t="inlineStr">
        <is>
          <t>Föryngringsavverkning</t>
        </is>
      </c>
      <c r="D151" s="1" t="n">
        <v>45127</v>
      </c>
      <c r="E151" s="1" t="n">
        <v>46223</v>
      </c>
      <c r="F151" t="inlineStr">
        <is>
          <t>VÄRMLANDS LÄN</t>
        </is>
      </c>
      <c r="G151" t="inlineStr">
        <is>
          <t>FORSHAGA</t>
        </is>
      </c>
      <c r="H151" t="inlineStr">
        <is>
          <t>Kommuner</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48590-2024</t>
        </is>
      </c>
      <c r="B152" t="inlineStr">
        <is>
          <t>avverkningsanmälan</t>
        </is>
      </c>
      <c r="C152" t="inlineStr">
        <is>
          <t>Avverkning för att bevara och utveckla /försöksver</t>
        </is>
      </c>
      <c r="D152" s="1" t="n">
        <v>45593</v>
      </c>
      <c r="E152" s="1" t="n">
        <v>46223</v>
      </c>
      <c r="F152" t="inlineStr">
        <is>
          <t>VÄRMLANDS LÄN</t>
        </is>
      </c>
      <c r="G152" t="inlineStr">
        <is>
          <t>FORSHAGA</t>
        </is>
      </c>
      <c r="H152" t="inlineStr">
        <is>
          <t>Bergvik skog väst AB</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17519-2024</t>
        </is>
      </c>
      <c r="B153" t="inlineStr">
        <is>
          <t>avverkningsanmälan</t>
        </is>
      </c>
      <c r="C153" t="inlineStr">
        <is>
          <t>Föryngringsavverkning</t>
        </is>
      </c>
      <c r="D153" s="1" t="n">
        <v>45415</v>
      </c>
      <c r="E153" s="1" t="n">
        <v>46223</v>
      </c>
      <c r="F153" t="inlineStr">
        <is>
          <t>VÄRMLANDS LÄN</t>
        </is>
      </c>
      <c r="G153" t="inlineStr">
        <is>
          <t>FORSHAGA</t>
        </is>
      </c>
      <c r="H153" t="inlineStr">
        <is>
          <t>Bergvik skog väst AB</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18285-2026</t>
        </is>
      </c>
      <c r="B154" t="inlineStr">
        <is>
          <t>avverkningsanmälan</t>
        </is>
      </c>
      <c r="C154" t="inlineStr">
        <is>
          <t>Föryngringsavverkning</t>
        </is>
      </c>
      <c r="D154" s="1" t="n">
        <v>46126</v>
      </c>
      <c r="E154" s="1" t="n">
        <v>46223</v>
      </c>
      <c r="F154" t="inlineStr">
        <is>
          <t>VÄRMLANDS LÄN</t>
        </is>
      </c>
      <c r="G154" t="inlineStr">
        <is>
          <t>FORSHAGA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19079-2026</t>
        </is>
      </c>
      <c r="B155" t="inlineStr">
        <is>
          <t>avverkningsanmälan</t>
        </is>
      </c>
      <c r="C155" t="inlineStr">
        <is>
          <t>Föryngringsavverkning</t>
        </is>
      </c>
      <c r="D155" s="1" t="n">
        <v>46132</v>
      </c>
      <c r="E155" s="1" t="n">
        <v>46223</v>
      </c>
      <c r="F155" t="inlineStr">
        <is>
          <t>VÄRMLANDS LÄN</t>
        </is>
      </c>
      <c r="G155" t="inlineStr">
        <is>
          <t>FORSHAGA</t>
        </is>
      </c>
      <c r="I155" t="n">
        <v>10.1</v>
      </c>
      <c r="J155" t="n">
        <v>0</v>
      </c>
      <c r="K155" t="n">
        <v>0</v>
      </c>
      <c r="L155" t="n">
        <v>0</v>
      </c>
      <c r="M155" t="n">
        <v>0</v>
      </c>
      <c r="N155" t="n">
        <v>0</v>
      </c>
      <c r="O155" t="n">
        <v>0</v>
      </c>
      <c r="P155" t="n">
        <v>0</v>
      </c>
      <c r="Q155" t="n">
        <v>0</v>
      </c>
      <c r="R155" t="n">
        <v>0</v>
      </c>
      <c r="S155" t="n">
        <v>0</v>
      </c>
      <c r="T155" t="n">
        <v>0</v>
      </c>
      <c r="U155" s="2" t="inlineStr"/>
    </row>
    <row r="156" ht="15" customHeight="1">
      <c r="A156" t="inlineStr">
        <is>
          <t>A 32796-2023</t>
        </is>
      </c>
      <c r="B156" t="inlineStr">
        <is>
          <t>avverkningsanmälan</t>
        </is>
      </c>
      <c r="C156" t="inlineStr">
        <is>
          <t>Föryngringsavverkning</t>
        </is>
      </c>
      <c r="D156" s="1" t="n">
        <v>45124</v>
      </c>
      <c r="E156" s="1" t="n">
        <v>46223</v>
      </c>
      <c r="F156" t="inlineStr">
        <is>
          <t>VÄRMLANDS LÄN</t>
        </is>
      </c>
      <c r="G156" t="inlineStr">
        <is>
          <t>FORSHAGA</t>
        </is>
      </c>
      <c r="H156" t="inlineStr">
        <is>
          <t>Kommuner</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18916-2026</t>
        </is>
      </c>
      <c r="B157" t="inlineStr">
        <is>
          <t>avverkningsanmälan</t>
        </is>
      </c>
      <c r="C157" t="inlineStr">
        <is>
          <t>Föryngringsavverkning</t>
        </is>
      </c>
      <c r="D157" s="1" t="n">
        <v>46129</v>
      </c>
      <c r="E157" s="1" t="n">
        <v>46223</v>
      </c>
      <c r="F157" t="inlineStr">
        <is>
          <t>VÄRMLANDS LÄN</t>
        </is>
      </c>
      <c r="G157" t="inlineStr">
        <is>
          <t>FORSHAGA</t>
        </is>
      </c>
      <c r="H157" t="inlineStr">
        <is>
          <t>Bergvik skog väst AB</t>
        </is>
      </c>
      <c r="I157" t="n">
        <v>5.2</v>
      </c>
      <c r="J157" t="n">
        <v>0</v>
      </c>
      <c r="K157" t="n">
        <v>0</v>
      </c>
      <c r="L157" t="n">
        <v>0</v>
      </c>
      <c r="M157" t="n">
        <v>0</v>
      </c>
      <c r="N157" t="n">
        <v>0</v>
      </c>
      <c r="O157" t="n">
        <v>0</v>
      </c>
      <c r="P157" t="n">
        <v>0</v>
      </c>
      <c r="Q157" t="n">
        <v>0</v>
      </c>
      <c r="R157" t="n">
        <v>0</v>
      </c>
      <c r="S157" t="n">
        <v>0</v>
      </c>
      <c r="T157" t="n">
        <v>0</v>
      </c>
      <c r="U157" s="2" t="inlineStr"/>
    </row>
    <row r="158" ht="15" customHeight="1">
      <c r="A158" t="inlineStr">
        <is>
          <t>A 2818-2022</t>
        </is>
      </c>
      <c r="B158" t="inlineStr">
        <is>
          <t>avverkningsanmälan</t>
        </is>
      </c>
      <c r="C158" t="inlineStr">
        <is>
          <t>Föryngringsavverkning</t>
        </is>
      </c>
      <c r="D158" s="1" t="n">
        <v>44581</v>
      </c>
      <c r="E158" s="1" t="n">
        <v>46223</v>
      </c>
      <c r="F158" t="inlineStr">
        <is>
          <t>VÄRMLANDS LÄN</t>
        </is>
      </c>
      <c r="G158" t="inlineStr">
        <is>
          <t>FORSHAGA</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7273-2023</t>
        </is>
      </c>
      <c r="B159" t="inlineStr">
        <is>
          <t>avverkningsanmälan</t>
        </is>
      </c>
      <c r="C159" t="inlineStr">
        <is>
          <t>Föryngringsavverkning</t>
        </is>
      </c>
      <c r="D159" s="1" t="n">
        <v>44970</v>
      </c>
      <c r="E159" s="1" t="n">
        <v>46223</v>
      </c>
      <c r="F159" t="inlineStr">
        <is>
          <t>VÄRMLANDS LÄN</t>
        </is>
      </c>
      <c r="G159" t="inlineStr">
        <is>
          <t>FORSHAGA</t>
        </is>
      </c>
      <c r="I159" t="n">
        <v>1.9</v>
      </c>
      <c r="J159" t="n">
        <v>0</v>
      </c>
      <c r="K159" t="n">
        <v>0</v>
      </c>
      <c r="L159" t="n">
        <v>0</v>
      </c>
      <c r="M159" t="n">
        <v>0</v>
      </c>
      <c r="N159" t="n">
        <v>0</v>
      </c>
      <c r="O159" t="n">
        <v>0</v>
      </c>
      <c r="P159" t="n">
        <v>0</v>
      </c>
      <c r="Q159" t="n">
        <v>0</v>
      </c>
      <c r="R159" t="n">
        <v>0</v>
      </c>
      <c r="S159" t="n">
        <v>0</v>
      </c>
      <c r="T159" t="n">
        <v>0</v>
      </c>
      <c r="U159" s="2" t="inlineStr"/>
    </row>
    <row r="160" ht="15" customHeight="1">
      <c r="A160" t="inlineStr">
        <is>
          <t>A 20862-2024</t>
        </is>
      </c>
      <c r="B160" t="inlineStr">
        <is>
          <t>avverkningsanmälan</t>
        </is>
      </c>
      <c r="C160" t="inlineStr">
        <is>
          <t>Föryngringsavverkning</t>
        </is>
      </c>
      <c r="D160" s="1" t="n">
        <v>45439</v>
      </c>
      <c r="E160" s="1" t="n">
        <v>46223</v>
      </c>
      <c r="F160" t="inlineStr">
        <is>
          <t>VÄRMLANDS LÄN</t>
        </is>
      </c>
      <c r="G160" t="inlineStr">
        <is>
          <t>FORSHAGA</t>
        </is>
      </c>
      <c r="I160" t="n">
        <v>9.199999999999999</v>
      </c>
      <c r="J160" t="n">
        <v>0</v>
      </c>
      <c r="K160" t="n">
        <v>0</v>
      </c>
      <c r="L160" t="n">
        <v>0</v>
      </c>
      <c r="M160" t="n">
        <v>0</v>
      </c>
      <c r="N160" t="n">
        <v>0</v>
      </c>
      <c r="O160" t="n">
        <v>0</v>
      </c>
      <c r="P160" t="n">
        <v>0</v>
      </c>
      <c r="Q160" t="n">
        <v>0</v>
      </c>
      <c r="R160" t="n">
        <v>0</v>
      </c>
      <c r="S160" t="n">
        <v>0</v>
      </c>
      <c r="T160" t="n">
        <v>0</v>
      </c>
      <c r="U160" s="2" t="inlineStr"/>
    </row>
    <row r="161" ht="15" customHeight="1">
      <c r="A161" t="inlineStr">
        <is>
          <t>A 19823-2026</t>
        </is>
      </c>
      <c r="B161" t="inlineStr">
        <is>
          <t>avverkningsanmälan</t>
        </is>
      </c>
      <c r="C161" t="inlineStr">
        <is>
          <t>Föryngringsavverkning</t>
        </is>
      </c>
      <c r="D161" s="1" t="n">
        <v>46135</v>
      </c>
      <c r="E161" s="1" t="n">
        <v>46223</v>
      </c>
      <c r="F161" t="inlineStr">
        <is>
          <t>VÄRMLANDS LÄN</t>
        </is>
      </c>
      <c r="G161" t="inlineStr">
        <is>
          <t>FORSHAGA</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6909-2025</t>
        </is>
      </c>
      <c r="B162" t="inlineStr">
        <is>
          <t>avverkningsanmälan</t>
        </is>
      </c>
      <c r="C162" t="inlineStr">
        <is>
          <t>Avverkning för att bevara och utveckla /försöksver</t>
        </is>
      </c>
      <c r="D162" s="1" t="n">
        <v>45701</v>
      </c>
      <c r="E162" s="1" t="n">
        <v>46223</v>
      </c>
      <c r="F162" t="inlineStr">
        <is>
          <t>VÄRMLANDS LÄN</t>
        </is>
      </c>
      <c r="G162" t="inlineStr">
        <is>
          <t>FORSHAGA</t>
        </is>
      </c>
      <c r="H162" t="inlineStr">
        <is>
          <t>Bergvik skog väst AB</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33224-2023</t>
        </is>
      </c>
      <c r="B163" t="inlineStr">
        <is>
          <t>avverkningsanmälan</t>
        </is>
      </c>
      <c r="C163" t="inlineStr">
        <is>
          <t>Föryngringsavverkning</t>
        </is>
      </c>
      <c r="D163" s="1" t="n">
        <v>45127</v>
      </c>
      <c r="E163" s="1" t="n">
        <v>46223</v>
      </c>
      <c r="F163" t="inlineStr">
        <is>
          <t>VÄRMLANDS LÄN</t>
        </is>
      </c>
      <c r="G163" t="inlineStr">
        <is>
          <t>FORSHAGA</t>
        </is>
      </c>
      <c r="H163" t="inlineStr">
        <is>
          <t>Kommuner</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2278-2022</t>
        </is>
      </c>
      <c r="B164" t="inlineStr">
        <is>
          <t>avverkningsanmälan</t>
        </is>
      </c>
      <c r="C164" t="inlineStr">
        <is>
          <t>Föryngringsavverkning</t>
        </is>
      </c>
      <c r="D164" s="1" t="n">
        <v>44578</v>
      </c>
      <c r="E164" s="1" t="n">
        <v>46223</v>
      </c>
      <c r="F164" t="inlineStr">
        <is>
          <t>VÄRMLANDS LÄN</t>
        </is>
      </c>
      <c r="G164" t="inlineStr">
        <is>
          <t>FORSHAGA</t>
        </is>
      </c>
      <c r="H164" t="inlineStr">
        <is>
          <t>Bergvik skog väst AB</t>
        </is>
      </c>
      <c r="I164" t="n">
        <v>3.2</v>
      </c>
      <c r="J164" t="n">
        <v>0</v>
      </c>
      <c r="K164" t="n">
        <v>0</v>
      </c>
      <c r="L164" t="n">
        <v>0</v>
      </c>
      <c r="M164" t="n">
        <v>0</v>
      </c>
      <c r="N164" t="n">
        <v>0</v>
      </c>
      <c r="O164" t="n">
        <v>0</v>
      </c>
      <c r="P164" t="n">
        <v>0</v>
      </c>
      <c r="Q164" t="n">
        <v>0</v>
      </c>
      <c r="R164" t="n">
        <v>0</v>
      </c>
      <c r="S164" t="n">
        <v>0</v>
      </c>
      <c r="T164" t="n">
        <v>0</v>
      </c>
      <c r="U164" s="2" t="inlineStr"/>
    </row>
    <row r="165" ht="15" customHeight="1">
      <c r="A165" t="inlineStr">
        <is>
          <t>A 53678-2025</t>
        </is>
      </c>
      <c r="B165" t="inlineStr">
        <is>
          <t>avverkningsanmälan</t>
        </is>
      </c>
      <c r="C165" t="inlineStr">
        <is>
          <t>Föryngringsavverkning</t>
        </is>
      </c>
      <c r="D165" s="1" t="n">
        <v>45960</v>
      </c>
      <c r="E165" s="1" t="n">
        <v>46223</v>
      </c>
      <c r="F165" t="inlineStr">
        <is>
          <t>VÄRMLANDS LÄN</t>
        </is>
      </c>
      <c r="G165" t="inlineStr">
        <is>
          <t>FORSHAGA</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39407-2024</t>
        </is>
      </c>
      <c r="B166" t="inlineStr">
        <is>
          <t>avverkningsanmälan</t>
        </is>
      </c>
      <c r="C166" t="inlineStr">
        <is>
          <t>Föryngringsavverkning</t>
        </is>
      </c>
      <c r="D166" s="1" t="n">
        <v>45551</v>
      </c>
      <c r="E166" s="1" t="n">
        <v>46223</v>
      </c>
      <c r="F166" t="inlineStr">
        <is>
          <t>VÄRMLANDS LÄN</t>
        </is>
      </c>
      <c r="G166" t="inlineStr">
        <is>
          <t>FORSHAGA</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18879-2026</t>
        </is>
      </c>
      <c r="B167" t="inlineStr">
        <is>
          <t>avverkningsanmälan</t>
        </is>
      </c>
      <c r="C167" t="inlineStr">
        <is>
          <t>Föryngringsavverkning</t>
        </is>
      </c>
      <c r="D167" s="1" t="n">
        <v>46129</v>
      </c>
      <c r="E167" s="1" t="n">
        <v>46223</v>
      </c>
      <c r="F167" t="inlineStr">
        <is>
          <t>VÄRMLANDS LÄN</t>
        </is>
      </c>
      <c r="G167" t="inlineStr">
        <is>
          <t>FORSHAGA</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2843-2022</t>
        </is>
      </c>
      <c r="B168" t="inlineStr">
        <is>
          <t>avverkningsanmälan</t>
        </is>
      </c>
      <c r="C168" t="inlineStr">
        <is>
          <t>Föryngringsavverkning</t>
        </is>
      </c>
      <c r="D168" s="1" t="n">
        <v>44581</v>
      </c>
      <c r="E168" s="1" t="n">
        <v>46223</v>
      </c>
      <c r="F168" t="inlineStr">
        <is>
          <t>VÄRMLANDS LÄN</t>
        </is>
      </c>
      <c r="G168" t="inlineStr">
        <is>
          <t>FORSHAGA</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47734-2025</t>
        </is>
      </c>
      <c r="B169" t="inlineStr">
        <is>
          <t>avverkningsanmälan</t>
        </is>
      </c>
      <c r="C169" t="inlineStr">
        <is>
          <t>Föryngringsavverkning</t>
        </is>
      </c>
      <c r="D169" s="1" t="n">
        <v>45931</v>
      </c>
      <c r="E169" s="1" t="n">
        <v>46223</v>
      </c>
      <c r="F169" t="inlineStr">
        <is>
          <t>VÄRMLANDS LÄN</t>
        </is>
      </c>
      <c r="G169" t="inlineStr">
        <is>
          <t>FORSHAGA</t>
        </is>
      </c>
      <c r="H169" t="inlineStr">
        <is>
          <t>Kommuner</t>
        </is>
      </c>
      <c r="I169" t="n">
        <v>2.2</v>
      </c>
      <c r="J169" t="n">
        <v>0</v>
      </c>
      <c r="K169" t="n">
        <v>0</v>
      </c>
      <c r="L169" t="n">
        <v>0</v>
      </c>
      <c r="M169" t="n">
        <v>0</v>
      </c>
      <c r="N169" t="n">
        <v>0</v>
      </c>
      <c r="O169" t="n">
        <v>0</v>
      </c>
      <c r="P169" t="n">
        <v>0</v>
      </c>
      <c r="Q169" t="n">
        <v>0</v>
      </c>
      <c r="R169" t="n">
        <v>0</v>
      </c>
      <c r="S169" t="n">
        <v>0</v>
      </c>
      <c r="T169" t="n">
        <v>0</v>
      </c>
      <c r="U169" s="2" t="inlineStr"/>
    </row>
    <row r="170" ht="15" customHeight="1">
      <c r="A170" t="inlineStr">
        <is>
          <t>A 11196-2024</t>
        </is>
      </c>
      <c r="B170" t="inlineStr">
        <is>
          <t>avverkningsanmälan</t>
        </is>
      </c>
      <c r="C170" t="inlineStr">
        <is>
          <t>Föryngringsavverkning</t>
        </is>
      </c>
      <c r="D170" s="1" t="n">
        <v>45371</v>
      </c>
      <c r="E170" s="1" t="n">
        <v>46223</v>
      </c>
      <c r="F170" t="inlineStr">
        <is>
          <t>VÄRMLANDS LÄN</t>
        </is>
      </c>
      <c r="G170" t="inlineStr">
        <is>
          <t>FORSHAGA</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26104-2026</t>
        </is>
      </c>
      <c r="B171" t="inlineStr">
        <is>
          <t>avverkningsanmälan</t>
        </is>
      </c>
      <c r="C171" t="inlineStr">
        <is>
          <t>Föryngringsavverkning</t>
        </is>
      </c>
      <c r="D171" s="1" t="n">
        <v>46181</v>
      </c>
      <c r="E171" s="1" t="n">
        <v>46223</v>
      </c>
      <c r="F171" t="inlineStr">
        <is>
          <t>VÄRMLANDS LÄN</t>
        </is>
      </c>
      <c r="G171" t="inlineStr">
        <is>
          <t>FORSHAGA</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53596-2024</t>
        </is>
      </c>
      <c r="B172" t="inlineStr">
        <is>
          <t>avverkningsanmälan</t>
        </is>
      </c>
      <c r="C172" t="inlineStr">
        <is>
          <t>Föryngringsavverkning</t>
        </is>
      </c>
      <c r="D172" s="1" t="n">
        <v>45614</v>
      </c>
      <c r="E172" s="1" t="n">
        <v>46223</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19996-2022</t>
        </is>
      </c>
      <c r="B173" t="inlineStr">
        <is>
          <t>avverkningsanmälan</t>
        </is>
      </c>
      <c r="C173" t="inlineStr">
        <is>
          <t>Föryngringsavverkning</t>
        </is>
      </c>
      <c r="D173" s="1" t="n">
        <v>44697</v>
      </c>
      <c r="E173" s="1" t="n">
        <v>46223</v>
      </c>
      <c r="F173" t="inlineStr">
        <is>
          <t>VÄRMLANDS LÄN</t>
        </is>
      </c>
      <c r="G173" t="inlineStr">
        <is>
          <t>FORSHAGA</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19069-2025</t>
        </is>
      </c>
      <c r="B174" t="inlineStr">
        <is>
          <t>avverkningsanmälan</t>
        </is>
      </c>
      <c r="C174" t="inlineStr">
        <is>
          <t>Föryngringsavverkning</t>
        </is>
      </c>
      <c r="D174" s="1" t="n">
        <v>45765</v>
      </c>
      <c r="E174" s="1" t="n">
        <v>46223</v>
      </c>
      <c r="F174" t="inlineStr">
        <is>
          <t>VÄRMLANDS LÄN</t>
        </is>
      </c>
      <c r="G174" t="inlineStr">
        <is>
          <t>FORSHAGA</t>
        </is>
      </c>
      <c r="I174" t="n">
        <v>4.8</v>
      </c>
      <c r="J174" t="n">
        <v>0</v>
      </c>
      <c r="K174" t="n">
        <v>0</v>
      </c>
      <c r="L174" t="n">
        <v>0</v>
      </c>
      <c r="M174" t="n">
        <v>0</v>
      </c>
      <c r="N174" t="n">
        <v>0</v>
      </c>
      <c r="O174" t="n">
        <v>0</v>
      </c>
      <c r="P174" t="n">
        <v>0</v>
      </c>
      <c r="Q174" t="n">
        <v>0</v>
      </c>
      <c r="R174" t="n">
        <v>0</v>
      </c>
      <c r="S174" t="n">
        <v>0</v>
      </c>
      <c r="T174" t="n">
        <v>0</v>
      </c>
      <c r="U174" s="2" t="inlineStr"/>
    </row>
    <row r="175" ht="15" customHeight="1">
      <c r="A175" t="inlineStr">
        <is>
          <t>A 60850-2025</t>
        </is>
      </c>
      <c r="B175" t="inlineStr">
        <is>
          <t>avverkningsanmälan</t>
        </is>
      </c>
      <c r="C175" t="inlineStr">
        <is>
          <t>Föryngringsavverkning</t>
        </is>
      </c>
      <c r="D175" s="1" t="n">
        <v>45999</v>
      </c>
      <c r="E175" s="1" t="n">
        <v>46223</v>
      </c>
      <c r="F175" t="inlineStr">
        <is>
          <t>VÄRMLANDS LÄN</t>
        </is>
      </c>
      <c r="G175" t="inlineStr">
        <is>
          <t>FORSHAGA</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26325-2026</t>
        </is>
      </c>
      <c r="B176" t="inlineStr">
        <is>
          <t>avverkningsanmälan</t>
        </is>
      </c>
      <c r="C176" t="inlineStr">
        <is>
          <t>Föryngringsavverkning</t>
        </is>
      </c>
      <c r="D176" s="1" t="n">
        <v>46182</v>
      </c>
      <c r="E176" s="1" t="n">
        <v>46223</v>
      </c>
      <c r="F176" t="inlineStr">
        <is>
          <t>VÄRMLANDS LÄN</t>
        </is>
      </c>
      <c r="G176" t="inlineStr">
        <is>
          <t>FORSHAGA</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12484-2022</t>
        </is>
      </c>
      <c r="B177" t="inlineStr">
        <is>
          <t>avverkningsanmälan</t>
        </is>
      </c>
      <c r="C177" t="inlineStr">
        <is>
          <t>Föryngringsavverkning</t>
        </is>
      </c>
      <c r="D177" s="1" t="n">
        <v>44638</v>
      </c>
      <c r="E177" s="1" t="n">
        <v>46223</v>
      </c>
      <c r="F177" t="inlineStr">
        <is>
          <t>VÄRMLANDS LÄN</t>
        </is>
      </c>
      <c r="G177" t="inlineStr">
        <is>
          <t>FORSHAGA</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26129-2026</t>
        </is>
      </c>
      <c r="B178" t="inlineStr">
        <is>
          <t>avverkningsanmälan</t>
        </is>
      </c>
      <c r="C178" t="inlineStr">
        <is>
          <t>Föryngringsavverkning</t>
        </is>
      </c>
      <c r="D178" s="1" t="n">
        <v>46181</v>
      </c>
      <c r="E178" s="1" t="n">
        <v>46223</v>
      </c>
      <c r="F178" t="inlineStr">
        <is>
          <t>VÄRMLANDS LÄN</t>
        </is>
      </c>
      <c r="G178" t="inlineStr">
        <is>
          <t>FORSHAGA</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35850-2023</t>
        </is>
      </c>
      <c r="B179" t="inlineStr">
        <is>
          <t>avverkningsanmälan</t>
        </is>
      </c>
      <c r="C179" t="inlineStr">
        <is>
          <t>Föryngringsavverkning</t>
        </is>
      </c>
      <c r="D179" s="1" t="n">
        <v>45148</v>
      </c>
      <c r="E179" s="1" t="n">
        <v>46223</v>
      </c>
      <c r="F179" t="inlineStr">
        <is>
          <t>VÄRMLANDS LÄN</t>
        </is>
      </c>
      <c r="G179" t="inlineStr">
        <is>
          <t>FORSHAGA</t>
        </is>
      </c>
      <c r="H179" t="inlineStr">
        <is>
          <t>Kommuner</t>
        </is>
      </c>
      <c r="I179" t="n">
        <v>0.3</v>
      </c>
      <c r="J179" t="n">
        <v>0</v>
      </c>
      <c r="K179" t="n">
        <v>0</v>
      </c>
      <c r="L179" t="n">
        <v>0</v>
      </c>
      <c r="M179" t="n">
        <v>0</v>
      </c>
      <c r="N179" t="n">
        <v>0</v>
      </c>
      <c r="O179" t="n">
        <v>0</v>
      </c>
      <c r="P179" t="n">
        <v>0</v>
      </c>
      <c r="Q179" t="n">
        <v>0</v>
      </c>
      <c r="R179" t="n">
        <v>0</v>
      </c>
      <c r="S179" t="n">
        <v>0</v>
      </c>
      <c r="T179" t="n">
        <v>0</v>
      </c>
      <c r="U179" s="2" t="inlineStr"/>
    </row>
    <row r="180" ht="15" customHeight="1">
      <c r="A180" t="inlineStr">
        <is>
          <t>A 53573-2024</t>
        </is>
      </c>
      <c r="B180" t="inlineStr">
        <is>
          <t>avverkningsanmälan</t>
        </is>
      </c>
      <c r="C180" t="inlineStr">
        <is>
          <t>Föryngringsavverkning</t>
        </is>
      </c>
      <c r="D180" s="1" t="n">
        <v>45614</v>
      </c>
      <c r="E180" s="1" t="n">
        <v>46223</v>
      </c>
      <c r="F180" t="inlineStr">
        <is>
          <t>VÄRMLANDS LÄN</t>
        </is>
      </c>
      <c r="G180" t="inlineStr">
        <is>
          <t>FORSHAGA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18811-2025</t>
        </is>
      </c>
      <c r="B181" t="inlineStr">
        <is>
          <t>avverkningsanmälan</t>
        </is>
      </c>
      <c r="C181" t="inlineStr">
        <is>
          <t>Föryngringsavverkning</t>
        </is>
      </c>
      <c r="D181" s="1" t="n">
        <v>45764</v>
      </c>
      <c r="E181" s="1" t="n">
        <v>46223</v>
      </c>
      <c r="F181" t="inlineStr">
        <is>
          <t>VÄRMLANDS LÄN</t>
        </is>
      </c>
      <c r="G181" t="inlineStr">
        <is>
          <t>FORSHAGA</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8399-2025</t>
        </is>
      </c>
      <c r="B182" t="inlineStr">
        <is>
          <t>avverkningsanmälan</t>
        </is>
      </c>
      <c r="C182" t="inlineStr">
        <is>
          <t>Avverkning för att bevara och utveckla /försöksver</t>
        </is>
      </c>
      <c r="D182" s="1" t="n">
        <v>45709</v>
      </c>
      <c r="E182" s="1" t="n">
        <v>46223</v>
      </c>
      <c r="F182" t="inlineStr">
        <is>
          <t>VÄRMLANDS LÄN</t>
        </is>
      </c>
      <c r="G182" t="inlineStr">
        <is>
          <t>FORSHAGA</t>
        </is>
      </c>
      <c r="H182" t="inlineStr">
        <is>
          <t>Bergvik skog väst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55249-2023</t>
        </is>
      </c>
      <c r="B183" t="inlineStr">
        <is>
          <t>avverkningsanmälan</t>
        </is>
      </c>
      <c r="C183" t="inlineStr">
        <is>
          <t>Föryngringsavverkning</t>
        </is>
      </c>
      <c r="D183" s="1" t="n">
        <v>45237</v>
      </c>
      <c r="E183" s="1" t="n">
        <v>46223</v>
      </c>
      <c r="F183" t="inlineStr">
        <is>
          <t>VÄRMLANDS LÄN</t>
        </is>
      </c>
      <c r="G183" t="inlineStr">
        <is>
          <t>FORSHAGA</t>
        </is>
      </c>
      <c r="I183" t="n">
        <v>3.9</v>
      </c>
      <c r="J183" t="n">
        <v>0</v>
      </c>
      <c r="K183" t="n">
        <v>0</v>
      </c>
      <c r="L183" t="n">
        <v>0</v>
      </c>
      <c r="M183" t="n">
        <v>0</v>
      </c>
      <c r="N183" t="n">
        <v>0</v>
      </c>
      <c r="O183" t="n">
        <v>0</v>
      </c>
      <c r="P183" t="n">
        <v>0</v>
      </c>
      <c r="Q183" t="n">
        <v>0</v>
      </c>
      <c r="R183" t="n">
        <v>0</v>
      </c>
      <c r="S183" t="n">
        <v>0</v>
      </c>
      <c r="T183" t="n">
        <v>0</v>
      </c>
      <c r="U183" s="2" t="inlineStr"/>
    </row>
    <row r="184" ht="15" customHeight="1">
      <c r="A184" t="inlineStr">
        <is>
          <t>A 21081-2026</t>
        </is>
      </c>
      <c r="B184" t="inlineStr">
        <is>
          <t>avverkningsanmälan</t>
        </is>
      </c>
      <c r="C184" t="inlineStr">
        <is>
          <t>Föryngringsavverkning</t>
        </is>
      </c>
      <c r="D184" s="1" t="n">
        <v>46146</v>
      </c>
      <c r="E184" s="1" t="n">
        <v>46223</v>
      </c>
      <c r="F184" t="inlineStr">
        <is>
          <t>VÄRMLANDS LÄN</t>
        </is>
      </c>
      <c r="G184" t="inlineStr">
        <is>
          <t>FORSHAGA</t>
        </is>
      </c>
      <c r="H184" t="inlineStr">
        <is>
          <t>Bergvik skog väst AB</t>
        </is>
      </c>
      <c r="I184" t="n">
        <v>14.8</v>
      </c>
      <c r="J184" t="n">
        <v>0</v>
      </c>
      <c r="K184" t="n">
        <v>0</v>
      </c>
      <c r="L184" t="n">
        <v>0</v>
      </c>
      <c r="M184" t="n">
        <v>0</v>
      </c>
      <c r="N184" t="n">
        <v>0</v>
      </c>
      <c r="O184" t="n">
        <v>0</v>
      </c>
      <c r="P184" t="n">
        <v>0</v>
      </c>
      <c r="Q184" t="n">
        <v>0</v>
      </c>
      <c r="R184" t="n">
        <v>0</v>
      </c>
      <c r="S184" t="n">
        <v>0</v>
      </c>
      <c r="T184" t="n">
        <v>0</v>
      </c>
      <c r="U184" s="2" t="inlineStr"/>
    </row>
    <row r="185" ht="15" customHeight="1">
      <c r="A185" t="inlineStr">
        <is>
          <t>A 21137-2026</t>
        </is>
      </c>
      <c r="B185" t="inlineStr">
        <is>
          <t>avverkningsanmälan</t>
        </is>
      </c>
      <c r="C185" t="inlineStr">
        <is>
          <t>Föryngringsavverkning</t>
        </is>
      </c>
      <c r="D185" s="1" t="n">
        <v>46146</v>
      </c>
      <c r="E185" s="1" t="n">
        <v>46223</v>
      </c>
      <c r="F185" t="inlineStr">
        <is>
          <t>VÄRMLANDS LÄN</t>
        </is>
      </c>
      <c r="G185" t="inlineStr">
        <is>
          <t>FORSHAGA</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18439-2025</t>
        </is>
      </c>
      <c r="B186" t="inlineStr">
        <is>
          <t>avverkningsanmälan</t>
        </is>
      </c>
      <c r="C186" t="inlineStr">
        <is>
          <t>Föryngringsavverkning</t>
        </is>
      </c>
      <c r="D186" s="1" t="n">
        <v>45762</v>
      </c>
      <c r="E186" s="1" t="n">
        <v>46223</v>
      </c>
      <c r="F186" t="inlineStr">
        <is>
          <t>VÄRMLANDS LÄN</t>
        </is>
      </c>
      <c r="G186" t="inlineStr">
        <is>
          <t>FORSHAGA</t>
        </is>
      </c>
      <c r="H186" t="inlineStr">
        <is>
          <t>Bergvik skog väst AB</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40968-2022</t>
        </is>
      </c>
      <c r="B187" t="inlineStr">
        <is>
          <t>avverkningsanmälan</t>
        </is>
      </c>
      <c r="C187" t="inlineStr">
        <is>
          <t>Föryngringsavverkning</t>
        </is>
      </c>
      <c r="D187" s="1" t="n">
        <v>44823</v>
      </c>
      <c r="E187" s="1" t="n">
        <v>46223</v>
      </c>
      <c r="F187" t="inlineStr">
        <is>
          <t>VÄRMLANDS LÄN</t>
        </is>
      </c>
      <c r="G187" t="inlineStr">
        <is>
          <t>FORSHAGA</t>
        </is>
      </c>
      <c r="I187" t="n">
        <v>16.5</v>
      </c>
      <c r="J187" t="n">
        <v>0</v>
      </c>
      <c r="K187" t="n">
        <v>0</v>
      </c>
      <c r="L187" t="n">
        <v>0</v>
      </c>
      <c r="M187" t="n">
        <v>0</v>
      </c>
      <c r="N187" t="n">
        <v>0</v>
      </c>
      <c r="O187" t="n">
        <v>0</v>
      </c>
      <c r="P187" t="n">
        <v>0</v>
      </c>
      <c r="Q187" t="n">
        <v>0</v>
      </c>
      <c r="R187" t="n">
        <v>0</v>
      </c>
      <c r="S187" t="n">
        <v>0</v>
      </c>
      <c r="T187" t="n">
        <v>0</v>
      </c>
      <c r="U187" s="2" t="inlineStr"/>
    </row>
    <row r="188" ht="15" customHeight="1">
      <c r="A188" t="inlineStr">
        <is>
          <t>A 64121-2023</t>
        </is>
      </c>
      <c r="B188" t="inlineStr">
        <is>
          <t>avverkningsanmälan</t>
        </is>
      </c>
      <c r="C188" t="inlineStr">
        <is>
          <t>Avverkning för annat ändamål</t>
        </is>
      </c>
      <c r="D188" s="1" t="n">
        <v>45279</v>
      </c>
      <c r="E188" s="1" t="n">
        <v>46223</v>
      </c>
      <c r="F188" t="inlineStr">
        <is>
          <t>VÄRMLANDS LÄN</t>
        </is>
      </c>
      <c r="G188" t="inlineStr">
        <is>
          <t>FORSHAGA</t>
        </is>
      </c>
      <c r="I188" t="n">
        <v>0.1</v>
      </c>
      <c r="J188" t="n">
        <v>0</v>
      </c>
      <c r="K188" t="n">
        <v>0</v>
      </c>
      <c r="L188" t="n">
        <v>0</v>
      </c>
      <c r="M188" t="n">
        <v>0</v>
      </c>
      <c r="N188" t="n">
        <v>0</v>
      </c>
      <c r="O188" t="n">
        <v>0</v>
      </c>
      <c r="P188" t="n">
        <v>0</v>
      </c>
      <c r="Q188" t="n">
        <v>0</v>
      </c>
      <c r="R188" t="n">
        <v>0</v>
      </c>
      <c r="S188" t="n">
        <v>0</v>
      </c>
      <c r="T188" t="n">
        <v>0</v>
      </c>
      <c r="U188" s="2" t="inlineStr"/>
    </row>
    <row r="189" ht="15" customHeight="1">
      <c r="A189" t="inlineStr">
        <is>
          <t>A 27080-2026</t>
        </is>
      </c>
      <c r="B189" t="inlineStr">
        <is>
          <t>avverkningsanmälan</t>
        </is>
      </c>
      <c r="C189" t="inlineStr">
        <is>
          <t>Föryngringsavverkning</t>
        </is>
      </c>
      <c r="D189" s="1" t="n">
        <v>46186</v>
      </c>
      <c r="E189" s="1" t="n">
        <v>46223</v>
      </c>
      <c r="F189" t="inlineStr">
        <is>
          <t>VÄRMLANDS LÄN</t>
        </is>
      </c>
      <c r="G189" t="inlineStr">
        <is>
          <t>FORSHAGA</t>
        </is>
      </c>
      <c r="I189" t="n">
        <v>5.4</v>
      </c>
      <c r="J189" t="n">
        <v>0</v>
      </c>
      <c r="K189" t="n">
        <v>0</v>
      </c>
      <c r="L189" t="n">
        <v>0</v>
      </c>
      <c r="M189" t="n">
        <v>0</v>
      </c>
      <c r="N189" t="n">
        <v>0</v>
      </c>
      <c r="O189" t="n">
        <v>0</v>
      </c>
      <c r="P189" t="n">
        <v>0</v>
      </c>
      <c r="Q189" t="n">
        <v>0</v>
      </c>
      <c r="R189" t="n">
        <v>0</v>
      </c>
      <c r="S189" t="n">
        <v>0</v>
      </c>
      <c r="T189" t="n">
        <v>0</v>
      </c>
      <c r="U189" s="2" t="inlineStr"/>
    </row>
    <row r="190" ht="15" customHeight="1">
      <c r="A190" t="inlineStr">
        <is>
          <t>A 60893-2025</t>
        </is>
      </c>
      <c r="B190" t="inlineStr">
        <is>
          <t>avverkningsanmälan</t>
        </is>
      </c>
      <c r="C190" t="inlineStr">
        <is>
          <t>Föryngringsavverkning</t>
        </is>
      </c>
      <c r="D190" s="1" t="n">
        <v>45999</v>
      </c>
      <c r="E190" s="1" t="n">
        <v>46223</v>
      </c>
      <c r="F190" t="inlineStr">
        <is>
          <t>VÄRMLANDS LÄN</t>
        </is>
      </c>
      <c r="G190" t="inlineStr">
        <is>
          <t>FORSHAGA</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21106-2026</t>
        </is>
      </c>
      <c r="B191" t="inlineStr">
        <is>
          <t>avverkningsanmälan</t>
        </is>
      </c>
      <c r="C191" t="inlineStr">
        <is>
          <t>Föryngringsavverkning</t>
        </is>
      </c>
      <c r="D191" s="1" t="n">
        <v>46146</v>
      </c>
      <c r="E191" s="1" t="n">
        <v>46223</v>
      </c>
      <c r="F191" t="inlineStr">
        <is>
          <t>VÄRMLANDS LÄN</t>
        </is>
      </c>
      <c r="G191" t="inlineStr">
        <is>
          <t>FORSHAGA</t>
        </is>
      </c>
      <c r="H191" t="inlineStr">
        <is>
          <t>Bergvik skog väst AB</t>
        </is>
      </c>
      <c r="I191" t="n">
        <v>8.1</v>
      </c>
      <c r="J191" t="n">
        <v>0</v>
      </c>
      <c r="K191" t="n">
        <v>0</v>
      </c>
      <c r="L191" t="n">
        <v>0</v>
      </c>
      <c r="M191" t="n">
        <v>0</v>
      </c>
      <c r="N191" t="n">
        <v>0</v>
      </c>
      <c r="O191" t="n">
        <v>0</v>
      </c>
      <c r="P191" t="n">
        <v>0</v>
      </c>
      <c r="Q191" t="n">
        <v>0</v>
      </c>
      <c r="R191" t="n">
        <v>0</v>
      </c>
      <c r="S191" t="n">
        <v>0</v>
      </c>
      <c r="T191" t="n">
        <v>0</v>
      </c>
      <c r="U191" s="2" t="inlineStr"/>
    </row>
    <row r="192" ht="15" customHeight="1">
      <c r="A192" t="inlineStr">
        <is>
          <t>A 21146-2026</t>
        </is>
      </c>
      <c r="B192" t="inlineStr">
        <is>
          <t>avverkningsanmälan</t>
        </is>
      </c>
      <c r="C192" t="inlineStr">
        <is>
          <t>Föryngringsavverkning</t>
        </is>
      </c>
      <c r="D192" s="1" t="n">
        <v>46146</v>
      </c>
      <c r="E192" s="1" t="n">
        <v>46223</v>
      </c>
      <c r="F192" t="inlineStr">
        <is>
          <t>VÄRMLANDS LÄN</t>
        </is>
      </c>
      <c r="G192" t="inlineStr">
        <is>
          <t>FORSHAGA</t>
        </is>
      </c>
      <c r="I192" t="n">
        <v>2.4</v>
      </c>
      <c r="J192" t="n">
        <v>0</v>
      </c>
      <c r="K192" t="n">
        <v>0</v>
      </c>
      <c r="L192" t="n">
        <v>0</v>
      </c>
      <c r="M192" t="n">
        <v>0</v>
      </c>
      <c r="N192" t="n">
        <v>0</v>
      </c>
      <c r="O192" t="n">
        <v>0</v>
      </c>
      <c r="P192" t="n">
        <v>0</v>
      </c>
      <c r="Q192" t="n">
        <v>0</v>
      </c>
      <c r="R192" t="n">
        <v>0</v>
      </c>
      <c r="S192" t="n">
        <v>0</v>
      </c>
      <c r="T192" t="n">
        <v>0</v>
      </c>
      <c r="U192" s="2" t="inlineStr"/>
    </row>
    <row r="193" ht="15" customHeight="1">
      <c r="A193" t="inlineStr">
        <is>
          <t>A 34427-2024</t>
        </is>
      </c>
      <c r="B193" t="inlineStr">
        <is>
          <t>avverkningsanmälan</t>
        </is>
      </c>
      <c r="C193" t="inlineStr">
        <is>
          <t>Avverkning för att bevara och utveckla /försöksver</t>
        </is>
      </c>
      <c r="D193" s="1" t="n">
        <v>45525</v>
      </c>
      <c r="E193" s="1" t="n">
        <v>46223</v>
      </c>
      <c r="F193" t="inlineStr">
        <is>
          <t>VÄRMLANDS LÄN</t>
        </is>
      </c>
      <c r="G193" t="inlineStr">
        <is>
          <t>FORSHAGA</t>
        </is>
      </c>
      <c r="H193" t="inlineStr">
        <is>
          <t>Bergvik skog väst AB</t>
        </is>
      </c>
      <c r="I193" t="n">
        <v>2.6</v>
      </c>
      <c r="J193" t="n">
        <v>0</v>
      </c>
      <c r="K193" t="n">
        <v>0</v>
      </c>
      <c r="L193" t="n">
        <v>0</v>
      </c>
      <c r="M193" t="n">
        <v>0</v>
      </c>
      <c r="N193" t="n">
        <v>0</v>
      </c>
      <c r="O193" t="n">
        <v>0</v>
      </c>
      <c r="P193" t="n">
        <v>0</v>
      </c>
      <c r="Q193" t="n">
        <v>0</v>
      </c>
      <c r="R193" t="n">
        <v>0</v>
      </c>
      <c r="S193" t="n">
        <v>0</v>
      </c>
      <c r="T193" t="n">
        <v>0</v>
      </c>
      <c r="U193" s="2" t="inlineStr"/>
    </row>
    <row r="194" ht="15" customHeight="1">
      <c r="A194" t="inlineStr">
        <is>
          <t>A 12320-2024</t>
        </is>
      </c>
      <c r="B194" t="inlineStr">
        <is>
          <t>avverkningsanmälan</t>
        </is>
      </c>
      <c r="C194" t="inlineStr">
        <is>
          <t>Avverkning för att bevara och utveckla /försöksver</t>
        </is>
      </c>
      <c r="D194" s="1" t="n">
        <v>45378</v>
      </c>
      <c r="E194" s="1" t="n">
        <v>46223</v>
      </c>
      <c r="F194" t="inlineStr">
        <is>
          <t>VÄRMLANDS LÄN</t>
        </is>
      </c>
      <c r="G194" t="inlineStr">
        <is>
          <t>FORSHAGA</t>
        </is>
      </c>
      <c r="H194" t="inlineStr">
        <is>
          <t>Bergvik skog väst AB</t>
        </is>
      </c>
      <c r="I194" t="n">
        <v>0.9</v>
      </c>
      <c r="J194" t="n">
        <v>0</v>
      </c>
      <c r="K194" t="n">
        <v>0</v>
      </c>
      <c r="L194" t="n">
        <v>0</v>
      </c>
      <c r="M194" t="n">
        <v>0</v>
      </c>
      <c r="N194" t="n">
        <v>0</v>
      </c>
      <c r="O194" t="n">
        <v>0</v>
      </c>
      <c r="P194" t="n">
        <v>0</v>
      </c>
      <c r="Q194" t="n">
        <v>0</v>
      </c>
      <c r="R194" t="n">
        <v>0</v>
      </c>
      <c r="S194" t="n">
        <v>0</v>
      </c>
      <c r="T194" t="n">
        <v>0</v>
      </c>
      <c r="U194" s="2" t="inlineStr"/>
    </row>
    <row r="195" ht="15" customHeight="1">
      <c r="A195" t="inlineStr">
        <is>
          <t>A 27076-2026</t>
        </is>
      </c>
      <c r="B195" t="inlineStr">
        <is>
          <t>avverkningsanmälan</t>
        </is>
      </c>
      <c r="C195" t="inlineStr">
        <is>
          <t>Föryngringsavverkning</t>
        </is>
      </c>
      <c r="D195" s="1" t="n">
        <v>46186</v>
      </c>
      <c r="E195" s="1" t="n">
        <v>46223</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27075-2026</t>
        </is>
      </c>
      <c r="B196" t="inlineStr">
        <is>
          <t>avverkningsanmälan</t>
        </is>
      </c>
      <c r="C196" t="inlineStr">
        <is>
          <t>Föryngringsavverkning</t>
        </is>
      </c>
      <c r="D196" s="1" t="n">
        <v>46186</v>
      </c>
      <c r="E196" s="1" t="n">
        <v>46223</v>
      </c>
      <c r="F196" t="inlineStr">
        <is>
          <t>VÄRMLANDS LÄN</t>
        </is>
      </c>
      <c r="G196" t="inlineStr">
        <is>
          <t>FORSHAGA</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27252-2026</t>
        </is>
      </c>
      <c r="B197" t="inlineStr">
        <is>
          <t>avverkningsanmälan</t>
        </is>
      </c>
      <c r="C197" t="inlineStr">
        <is>
          <t>Föryngringsavverkning</t>
        </is>
      </c>
      <c r="D197" s="1" t="n">
        <v>46188</v>
      </c>
      <c r="E197" s="1" t="n">
        <v>46223</v>
      </c>
      <c r="F197" t="inlineStr">
        <is>
          <t>VÄRMLANDS LÄN</t>
        </is>
      </c>
      <c r="G197" t="inlineStr">
        <is>
          <t>FORSHAGA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55137-2023</t>
        </is>
      </c>
      <c r="B198" t="inlineStr">
        <is>
          <t>avverkningsanmälan</t>
        </is>
      </c>
      <c r="C198" t="inlineStr">
        <is>
          <t>Föryngringsavverkning</t>
        </is>
      </c>
      <c r="D198" s="1" t="n">
        <v>45237</v>
      </c>
      <c r="E198" s="1" t="n">
        <v>46223</v>
      </c>
      <c r="F198" t="inlineStr">
        <is>
          <t>VÄRMLANDS LÄN</t>
        </is>
      </c>
      <c r="G198" t="inlineStr">
        <is>
          <t>FORSHAGA</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73264-2021</t>
        </is>
      </c>
      <c r="B199" t="inlineStr">
        <is>
          <t>avverkningsanmälan</t>
        </is>
      </c>
      <c r="C199" t="inlineStr">
        <is>
          <t>Föryngringsavverkning</t>
        </is>
      </c>
      <c r="D199" s="1" t="n">
        <v>44550</v>
      </c>
      <c r="E199" s="1" t="n">
        <v>46223</v>
      </c>
      <c r="F199" t="inlineStr">
        <is>
          <t>VÄRMLANDS LÄN</t>
        </is>
      </c>
      <c r="G199" t="inlineStr">
        <is>
          <t>FORSHAGA</t>
        </is>
      </c>
      <c r="I199" t="n">
        <v>7.9</v>
      </c>
      <c r="J199" t="n">
        <v>0</v>
      </c>
      <c r="K199" t="n">
        <v>0</v>
      </c>
      <c r="L199" t="n">
        <v>0</v>
      </c>
      <c r="M199" t="n">
        <v>0</v>
      </c>
      <c r="N199" t="n">
        <v>0</v>
      </c>
      <c r="O199" t="n">
        <v>0</v>
      </c>
      <c r="P199" t="n">
        <v>0</v>
      </c>
      <c r="Q199" t="n">
        <v>0</v>
      </c>
      <c r="R199" t="n">
        <v>0</v>
      </c>
      <c r="S199" t="n">
        <v>0</v>
      </c>
      <c r="T199" t="n">
        <v>0</v>
      </c>
      <c r="U199" s="2" t="inlineStr"/>
    </row>
    <row r="200" ht="15" customHeight="1">
      <c r="A200" t="inlineStr">
        <is>
          <t>A 73266-2021</t>
        </is>
      </c>
      <c r="B200" t="inlineStr">
        <is>
          <t>avverkningsanmälan</t>
        </is>
      </c>
      <c r="C200" t="inlineStr">
        <is>
          <t>Föryngringsavverkning</t>
        </is>
      </c>
      <c r="D200" s="1" t="n">
        <v>44550</v>
      </c>
      <c r="E200" s="1" t="n">
        <v>46223</v>
      </c>
      <c r="F200" t="inlineStr">
        <is>
          <t>VÄRMLANDS LÄN</t>
        </is>
      </c>
      <c r="G200" t="inlineStr">
        <is>
          <t>FORSHAGA</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61231-2022</t>
        </is>
      </c>
      <c r="B201" t="inlineStr">
        <is>
          <t>avverkningsanmälan</t>
        </is>
      </c>
      <c r="C201" t="inlineStr">
        <is>
          <t>Föryngringsavverkning</t>
        </is>
      </c>
      <c r="D201" s="1" t="n">
        <v>44915</v>
      </c>
      <c r="E201" s="1" t="n">
        <v>46223</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21634-2026</t>
        </is>
      </c>
      <c r="B202" t="inlineStr">
        <is>
          <t>avverkningsanmälan</t>
        </is>
      </c>
      <c r="C202" t="inlineStr">
        <is>
          <t>Föryngringsavverkning</t>
        </is>
      </c>
      <c r="D202" s="1" t="n">
        <v>46149</v>
      </c>
      <c r="E202" s="1" t="n">
        <v>46223</v>
      </c>
      <c r="F202" t="inlineStr">
        <is>
          <t>VÄRMLANDS LÄN</t>
        </is>
      </c>
      <c r="G202" t="inlineStr">
        <is>
          <t>FORSHAGA</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22221-2026</t>
        </is>
      </c>
      <c r="B203" t="inlineStr">
        <is>
          <t>avverkningsanmälan</t>
        </is>
      </c>
      <c r="C203" t="inlineStr">
        <is>
          <t>Föryngringsavverkning</t>
        </is>
      </c>
      <c r="D203" s="1" t="n">
        <v>46153</v>
      </c>
      <c r="E203" s="1" t="n">
        <v>46223</v>
      </c>
      <c r="F203" t="inlineStr">
        <is>
          <t>VÄRMLANDS LÄN</t>
        </is>
      </c>
      <c r="G203" t="inlineStr">
        <is>
          <t>FORSHAGA</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22192-2026</t>
        </is>
      </c>
      <c r="B204" t="inlineStr">
        <is>
          <t>avverkningsanmälan</t>
        </is>
      </c>
      <c r="C204" t="inlineStr">
        <is>
          <t>Föryngringsavverkning</t>
        </is>
      </c>
      <c r="D204" s="1" t="n">
        <v>46153</v>
      </c>
      <c r="E204" s="1" t="n">
        <v>46223</v>
      </c>
      <c r="F204" t="inlineStr">
        <is>
          <t>VÄRMLANDS LÄN</t>
        </is>
      </c>
      <c r="G204" t="inlineStr">
        <is>
          <t>FORSHAGA</t>
        </is>
      </c>
      <c r="I204" t="n">
        <v>7.5</v>
      </c>
      <c r="J204" t="n">
        <v>0</v>
      </c>
      <c r="K204" t="n">
        <v>0</v>
      </c>
      <c r="L204" t="n">
        <v>0</v>
      </c>
      <c r="M204" t="n">
        <v>0</v>
      </c>
      <c r="N204" t="n">
        <v>0</v>
      </c>
      <c r="O204" t="n">
        <v>0</v>
      </c>
      <c r="P204" t="n">
        <v>0</v>
      </c>
      <c r="Q204" t="n">
        <v>0</v>
      </c>
      <c r="R204" t="n">
        <v>0</v>
      </c>
      <c r="S204" t="n">
        <v>0</v>
      </c>
      <c r="T204" t="n">
        <v>0</v>
      </c>
      <c r="U204" s="2" t="inlineStr"/>
    </row>
    <row r="205" ht="15" customHeight="1">
      <c r="A205" t="inlineStr">
        <is>
          <t>A 1338-2023</t>
        </is>
      </c>
      <c r="B205" t="inlineStr">
        <is>
          <t>avverkningsanmälan</t>
        </is>
      </c>
      <c r="C205" t="inlineStr">
        <is>
          <t>Föryngringsavverkning</t>
        </is>
      </c>
      <c r="D205" s="1" t="n">
        <v>44936</v>
      </c>
      <c r="E205" s="1" t="n">
        <v>46223</v>
      </c>
      <c r="F205" t="inlineStr">
        <is>
          <t>VÄRMLANDS LÄN</t>
        </is>
      </c>
      <c r="G205" t="inlineStr">
        <is>
          <t>FORSHAGA</t>
        </is>
      </c>
      <c r="I205" t="n">
        <v>6</v>
      </c>
      <c r="J205" t="n">
        <v>0</v>
      </c>
      <c r="K205" t="n">
        <v>0</v>
      </c>
      <c r="L205" t="n">
        <v>0</v>
      </c>
      <c r="M205" t="n">
        <v>0</v>
      </c>
      <c r="N205" t="n">
        <v>0</v>
      </c>
      <c r="O205" t="n">
        <v>0</v>
      </c>
      <c r="P205" t="n">
        <v>0</v>
      </c>
      <c r="Q205" t="n">
        <v>0</v>
      </c>
      <c r="R205" t="n">
        <v>0</v>
      </c>
      <c r="S205" t="n">
        <v>0</v>
      </c>
      <c r="T205" t="n">
        <v>0</v>
      </c>
      <c r="U205" s="2" t="inlineStr"/>
    </row>
    <row r="206" ht="15" customHeight="1">
      <c r="A206" t="inlineStr">
        <is>
          <t>A 35654-2024</t>
        </is>
      </c>
      <c r="B206" t="inlineStr">
        <is>
          <t>avverkningsanmälan</t>
        </is>
      </c>
      <c r="C206" t="inlineStr">
        <is>
          <t>Föryngringsavverkning</t>
        </is>
      </c>
      <c r="D206" s="1" t="n">
        <v>45532</v>
      </c>
      <c r="E206" s="1" t="n">
        <v>46223</v>
      </c>
      <c r="F206" t="inlineStr">
        <is>
          <t>VÄRMLANDS LÄN</t>
        </is>
      </c>
      <c r="G206" t="inlineStr">
        <is>
          <t>FORSHAGA</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22222-2026</t>
        </is>
      </c>
      <c r="B207" t="inlineStr">
        <is>
          <t>avverkningsanmälan</t>
        </is>
      </c>
      <c r="C207" t="inlineStr">
        <is>
          <t>Föryngringsavverkning</t>
        </is>
      </c>
      <c r="D207" s="1" t="n">
        <v>46153</v>
      </c>
      <c r="E207" s="1" t="n">
        <v>46223</v>
      </c>
      <c r="F207" t="inlineStr">
        <is>
          <t>VÄRMLANDS LÄN</t>
        </is>
      </c>
      <c r="G207" t="inlineStr">
        <is>
          <t>FORSHAGA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20928-2024</t>
        </is>
      </c>
      <c r="B208" t="inlineStr">
        <is>
          <t>avverkningsanmälan</t>
        </is>
      </c>
      <c r="C208" t="inlineStr">
        <is>
          <t>Föryngringsavverkning</t>
        </is>
      </c>
      <c r="D208" s="1" t="n">
        <v>45439</v>
      </c>
      <c r="E208" s="1" t="n">
        <v>46223</v>
      </c>
      <c r="F208" t="inlineStr">
        <is>
          <t>VÄRMLANDS LÄN</t>
        </is>
      </c>
      <c r="G208" t="inlineStr">
        <is>
          <t>FORSHAGA</t>
        </is>
      </c>
      <c r="I208" t="n">
        <v>2.9</v>
      </c>
      <c r="J208" t="n">
        <v>0</v>
      </c>
      <c r="K208" t="n">
        <v>0</v>
      </c>
      <c r="L208" t="n">
        <v>0</v>
      </c>
      <c r="M208" t="n">
        <v>0</v>
      </c>
      <c r="N208" t="n">
        <v>0</v>
      </c>
      <c r="O208" t="n">
        <v>0</v>
      </c>
      <c r="P208" t="n">
        <v>0</v>
      </c>
      <c r="Q208" t="n">
        <v>0</v>
      </c>
      <c r="R208" t="n">
        <v>0</v>
      </c>
      <c r="S208" t="n">
        <v>0</v>
      </c>
      <c r="T208" t="n">
        <v>0</v>
      </c>
      <c r="U208" s="2" t="inlineStr"/>
    </row>
    <row r="209" ht="15" customHeight="1">
      <c r="A209" t="inlineStr">
        <is>
          <t>A 20933-2024</t>
        </is>
      </c>
      <c r="B209" t="inlineStr">
        <is>
          <t>avverkningsanmälan</t>
        </is>
      </c>
      <c r="C209" t="inlineStr">
        <is>
          <t>Föryngringsavverkning</t>
        </is>
      </c>
      <c r="D209" s="1" t="n">
        <v>45439</v>
      </c>
      <c r="E209" s="1" t="n">
        <v>46223</v>
      </c>
      <c r="F209" t="inlineStr">
        <is>
          <t>VÄRMLANDS LÄN</t>
        </is>
      </c>
      <c r="G209" t="inlineStr">
        <is>
          <t>FORSHAGA</t>
        </is>
      </c>
      <c r="I209" t="n">
        <v>11.3</v>
      </c>
      <c r="J209" t="n">
        <v>0</v>
      </c>
      <c r="K209" t="n">
        <v>0</v>
      </c>
      <c r="L209" t="n">
        <v>0</v>
      </c>
      <c r="M209" t="n">
        <v>0</v>
      </c>
      <c r="N209" t="n">
        <v>0</v>
      </c>
      <c r="O209" t="n">
        <v>0</v>
      </c>
      <c r="P209" t="n">
        <v>0</v>
      </c>
      <c r="Q209" t="n">
        <v>0</v>
      </c>
      <c r="R209" t="n">
        <v>0</v>
      </c>
      <c r="S209" t="n">
        <v>0</v>
      </c>
      <c r="T209" t="n">
        <v>0</v>
      </c>
      <c r="U209" s="2" t="inlineStr"/>
    </row>
    <row r="210" ht="15" customHeight="1">
      <c r="A210" t="inlineStr">
        <is>
          <t>A 63318-2023</t>
        </is>
      </c>
      <c r="B210" t="inlineStr">
        <is>
          <t>avverkningsanmälan</t>
        </is>
      </c>
      <c r="C210" t="inlineStr">
        <is>
          <t>Föryngringsavverkning</t>
        </is>
      </c>
      <c r="D210" s="1" t="n">
        <v>45274</v>
      </c>
      <c r="E210" s="1" t="n">
        <v>46223</v>
      </c>
      <c r="F210" t="inlineStr">
        <is>
          <t>VÄRMLANDS LÄN</t>
        </is>
      </c>
      <c r="G210" t="inlineStr">
        <is>
          <t>FORSHAGA</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29265-2026</t>
        </is>
      </c>
      <c r="B211" t="inlineStr">
        <is>
          <t>avverkningsanmälan</t>
        </is>
      </c>
      <c r="C211" t="inlineStr">
        <is>
          <t>Föryngringsavverkning</t>
        </is>
      </c>
      <c r="D211" s="1" t="n">
        <v>46202</v>
      </c>
      <c r="E211" s="1" t="n">
        <v>46223</v>
      </c>
      <c r="F211" t="inlineStr">
        <is>
          <t>VÄRMLANDS LÄN</t>
        </is>
      </c>
      <c r="G211" t="inlineStr">
        <is>
          <t>FORSHAGA</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29116-2026</t>
        </is>
      </c>
      <c r="B212" t="inlineStr">
        <is>
          <t>avverkningsanmälan</t>
        </is>
      </c>
      <c r="C212" t="inlineStr">
        <is>
          <t>Föryngringsavverkning</t>
        </is>
      </c>
      <c r="D212" s="1" t="n">
        <v>46201</v>
      </c>
      <c r="E212" s="1" t="n">
        <v>46223</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7297-2023</t>
        </is>
      </c>
      <c r="B213" t="inlineStr">
        <is>
          <t>avverkningsanmälan</t>
        </is>
      </c>
      <c r="C213" t="inlineStr">
        <is>
          <t>Föryngringsavverkning</t>
        </is>
      </c>
      <c r="D213" s="1" t="n">
        <v>44970</v>
      </c>
      <c r="E213" s="1" t="n">
        <v>46223</v>
      </c>
      <c r="F213" t="inlineStr">
        <is>
          <t>VÄRMLANDS LÄN</t>
        </is>
      </c>
      <c r="G213" t="inlineStr">
        <is>
          <t>FORSHAGA</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33227-2023</t>
        </is>
      </c>
      <c r="B214" t="inlineStr">
        <is>
          <t>avverkningsanmälan</t>
        </is>
      </c>
      <c r="C214" t="inlineStr">
        <is>
          <t>Föryngringsavverkning</t>
        </is>
      </c>
      <c r="D214" s="1" t="n">
        <v>45127</v>
      </c>
      <c r="E214" s="1" t="n">
        <v>46223</v>
      </c>
      <c r="F214" t="inlineStr">
        <is>
          <t>VÄRMLANDS LÄN</t>
        </is>
      </c>
      <c r="G214" t="inlineStr">
        <is>
          <t>FORSHAGA</t>
        </is>
      </c>
      <c r="H214" t="inlineStr">
        <is>
          <t>Kommuner</t>
        </is>
      </c>
      <c r="I214" t="n">
        <v>2.9</v>
      </c>
      <c r="J214" t="n">
        <v>0</v>
      </c>
      <c r="K214" t="n">
        <v>0</v>
      </c>
      <c r="L214" t="n">
        <v>0</v>
      </c>
      <c r="M214" t="n">
        <v>0</v>
      </c>
      <c r="N214" t="n">
        <v>0</v>
      </c>
      <c r="O214" t="n">
        <v>0</v>
      </c>
      <c r="P214" t="n">
        <v>0</v>
      </c>
      <c r="Q214" t="n">
        <v>0</v>
      </c>
      <c r="R214" t="n">
        <v>0</v>
      </c>
      <c r="S214" t="n">
        <v>0</v>
      </c>
      <c r="T214" t="n">
        <v>0</v>
      </c>
      <c r="U214" s="2" t="inlineStr"/>
    </row>
    <row r="215" ht="15" customHeight="1">
      <c r="A215" t="inlineStr">
        <is>
          <t>A 38261-2022</t>
        </is>
      </c>
      <c r="B215" t="inlineStr">
        <is>
          <t>avverkningsanmälan</t>
        </is>
      </c>
      <c r="C215" t="inlineStr">
        <is>
          <t>Föryngringsavverkning</t>
        </is>
      </c>
      <c r="D215" s="1" t="n">
        <v>44812</v>
      </c>
      <c r="E215" s="1" t="n">
        <v>46223</v>
      </c>
      <c r="F215" t="inlineStr">
        <is>
          <t>VÄRMLANDS LÄN</t>
        </is>
      </c>
      <c r="G215" t="inlineStr">
        <is>
          <t>FORSHAGA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54170-2022</t>
        </is>
      </c>
      <c r="B216" t="inlineStr">
        <is>
          <t>avverkningsanmälan</t>
        </is>
      </c>
      <c r="C216" t="inlineStr">
        <is>
          <t>Föryngringsavverkning</t>
        </is>
      </c>
      <c r="D216" s="1" t="n">
        <v>44881</v>
      </c>
      <c r="E216" s="1" t="n">
        <v>46223</v>
      </c>
      <c r="F216" t="inlineStr">
        <is>
          <t>VÄRMLANDS LÄN</t>
        </is>
      </c>
      <c r="G216" t="inlineStr">
        <is>
          <t>FORSHAGA</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24036-2023</t>
        </is>
      </c>
      <c r="B217" t="inlineStr">
        <is>
          <t>avverkningsanmälan</t>
        </is>
      </c>
      <c r="C217" t="inlineStr">
        <is>
          <t>Föryngringsavverkning</t>
        </is>
      </c>
      <c r="D217" s="1" t="n">
        <v>45078</v>
      </c>
      <c r="E217" s="1" t="n">
        <v>46223</v>
      </c>
      <c r="F217" t="inlineStr">
        <is>
          <t>VÄRMLANDS LÄN</t>
        </is>
      </c>
      <c r="G217" t="inlineStr">
        <is>
          <t>FORSHAGA</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21836-2025</t>
        </is>
      </c>
      <c r="B218" t="inlineStr">
        <is>
          <t>avverkningsanmälan</t>
        </is>
      </c>
      <c r="C218" t="inlineStr">
        <is>
          <t>Föryngringsavverkning</t>
        </is>
      </c>
      <c r="D218" s="1" t="n">
        <v>45784</v>
      </c>
      <c r="E218" s="1" t="n">
        <v>46223</v>
      </c>
      <c r="F218" t="inlineStr">
        <is>
          <t>VÄRMLANDS LÄN</t>
        </is>
      </c>
      <c r="G218" t="inlineStr">
        <is>
          <t>FORSHAGA</t>
        </is>
      </c>
      <c r="I218" t="n">
        <v>4.2</v>
      </c>
      <c r="J218" t="n">
        <v>0</v>
      </c>
      <c r="K218" t="n">
        <v>0</v>
      </c>
      <c r="L218" t="n">
        <v>0</v>
      </c>
      <c r="M218" t="n">
        <v>0</v>
      </c>
      <c r="N218" t="n">
        <v>0</v>
      </c>
      <c r="O218" t="n">
        <v>0</v>
      </c>
      <c r="P218" t="n">
        <v>0</v>
      </c>
      <c r="Q218" t="n">
        <v>0</v>
      </c>
      <c r="R218" t="n">
        <v>0</v>
      </c>
      <c r="S218" t="n">
        <v>0</v>
      </c>
      <c r="T218" t="n">
        <v>0</v>
      </c>
      <c r="U218" s="2" t="inlineStr"/>
    </row>
    <row r="219" ht="15" customHeight="1">
      <c r="A219" t="inlineStr">
        <is>
          <t>A 60043-2022</t>
        </is>
      </c>
      <c r="B219" t="inlineStr">
        <is>
          <t>avverkningsanmälan</t>
        </is>
      </c>
      <c r="C219" t="inlineStr">
        <is>
          <t>Föryngringsavverkning</t>
        </is>
      </c>
      <c r="D219" s="1" t="n">
        <v>44902</v>
      </c>
      <c r="E219" s="1" t="n">
        <v>46223</v>
      </c>
      <c r="F219" t="inlineStr">
        <is>
          <t>VÄRMLANDS LÄN</t>
        </is>
      </c>
      <c r="G219" t="inlineStr">
        <is>
          <t>FORSHAGA</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15563-2022</t>
        </is>
      </c>
      <c r="B220" t="inlineStr">
        <is>
          <t>avverkningsanmälan</t>
        </is>
      </c>
      <c r="C220" t="inlineStr">
        <is>
          <t>Föryngringsavverkning</t>
        </is>
      </c>
      <c r="D220" s="1" t="n">
        <v>44662</v>
      </c>
      <c r="E220" s="1" t="n">
        <v>46223</v>
      </c>
      <c r="F220" t="inlineStr">
        <is>
          <t>VÄRMLANDS LÄN</t>
        </is>
      </c>
      <c r="G220" t="inlineStr">
        <is>
          <t>FORSHAGA</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23516-2026</t>
        </is>
      </c>
      <c r="B221" t="inlineStr">
        <is>
          <t>avverkningsanmälan</t>
        </is>
      </c>
      <c r="C221" t="inlineStr">
        <is>
          <t>Föryngringsavverkning</t>
        </is>
      </c>
      <c r="D221" s="1" t="n">
        <v>46163</v>
      </c>
      <c r="E221" s="1" t="n">
        <v>46223</v>
      </c>
      <c r="F221" t="inlineStr">
        <is>
          <t>VÄRMLANDS LÄN</t>
        </is>
      </c>
      <c r="G221" t="inlineStr">
        <is>
          <t>FORSHAGA</t>
        </is>
      </c>
      <c r="H221" t="inlineStr">
        <is>
          <t>Kyrkan</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56280-2023</t>
        </is>
      </c>
      <c r="B222" t="inlineStr">
        <is>
          <t>avverkningsanmälan</t>
        </is>
      </c>
      <c r="C222" t="inlineStr">
        <is>
          <t>Föryngringsavverkning</t>
        </is>
      </c>
      <c r="D222" s="1" t="n">
        <v>45241</v>
      </c>
      <c r="E222" s="1" t="n">
        <v>46223</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23505-2026</t>
        </is>
      </c>
      <c r="B223" t="inlineStr">
        <is>
          <t>avverkningsanmälan</t>
        </is>
      </c>
      <c r="C223" t="inlineStr">
        <is>
          <t>Föryngringsavverkning</t>
        </is>
      </c>
      <c r="D223" s="1" t="n">
        <v>46163</v>
      </c>
      <c r="E223" s="1" t="n">
        <v>46223</v>
      </c>
      <c r="F223" t="inlineStr">
        <is>
          <t>VÄRMLANDS LÄN</t>
        </is>
      </c>
      <c r="G223" t="inlineStr">
        <is>
          <t>FORSHAGA</t>
        </is>
      </c>
      <c r="H223" t="inlineStr">
        <is>
          <t>Kyrkan</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58714-2021</t>
        </is>
      </c>
      <c r="B224" t="inlineStr">
        <is>
          <t>avverkningsanmälan</t>
        </is>
      </c>
      <c r="C224" t="inlineStr">
        <is>
          <t>Föryngringsavverkning</t>
        </is>
      </c>
      <c r="D224" s="1" t="n">
        <v>44489</v>
      </c>
      <c r="E224" s="1" t="n">
        <v>46223</v>
      </c>
      <c r="F224" t="inlineStr">
        <is>
          <t>VÄRMLANDS LÄN</t>
        </is>
      </c>
      <c r="G224" t="inlineStr">
        <is>
          <t>FORSHAGA</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30374-2026</t>
        </is>
      </c>
      <c r="B225" t="inlineStr">
        <is>
          <t>avverkningsanmälan</t>
        </is>
      </c>
      <c r="C225" t="inlineStr">
        <is>
          <t>Föryngringsavverkning</t>
        </is>
      </c>
      <c r="D225" s="1" t="n">
        <v>46209</v>
      </c>
      <c r="E225" s="1" t="n">
        <v>46223</v>
      </c>
      <c r="F225" t="inlineStr">
        <is>
          <t>VÄRMLANDS LÄN</t>
        </is>
      </c>
      <c r="G225" t="inlineStr">
        <is>
          <t>FORSHAGA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30380-2026</t>
        </is>
      </c>
      <c r="B226" t="inlineStr">
        <is>
          <t>avverkningsanmälan</t>
        </is>
      </c>
      <c r="C226" t="inlineStr">
        <is>
          <t>Föryngringsavverkning</t>
        </is>
      </c>
      <c r="D226" s="1" t="n">
        <v>46209</v>
      </c>
      <c r="E226" s="1" t="n">
        <v>46223</v>
      </c>
      <c r="F226" t="inlineStr">
        <is>
          <t>VÄRMLANDS LÄN</t>
        </is>
      </c>
      <c r="G226" t="inlineStr">
        <is>
          <t>FORSHAGA</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28517-2024</t>
        </is>
      </c>
      <c r="B227" t="inlineStr">
        <is>
          <t>avverkningsanmälan</t>
        </is>
      </c>
      <c r="C227" t="inlineStr">
        <is>
          <t>Föryngringsavverkning</t>
        </is>
      </c>
      <c r="D227" s="1" t="n">
        <v>45478</v>
      </c>
      <c r="E227" s="1" t="n">
        <v>46223</v>
      </c>
      <c r="F227" t="inlineStr">
        <is>
          <t>VÄRMLANDS LÄN</t>
        </is>
      </c>
      <c r="G227" t="inlineStr">
        <is>
          <t>FORSHAGA</t>
        </is>
      </c>
      <c r="H227" t="inlineStr">
        <is>
          <t>Bergvik skog väst AB</t>
        </is>
      </c>
      <c r="I227" t="n">
        <v>4.6</v>
      </c>
      <c r="J227" t="n">
        <v>0</v>
      </c>
      <c r="K227" t="n">
        <v>0</v>
      </c>
      <c r="L227" t="n">
        <v>0</v>
      </c>
      <c r="M227" t="n">
        <v>0</v>
      </c>
      <c r="N227" t="n">
        <v>0</v>
      </c>
      <c r="O227" t="n">
        <v>0</v>
      </c>
      <c r="P227" t="n">
        <v>0</v>
      </c>
      <c r="Q227" t="n">
        <v>0</v>
      </c>
      <c r="R227" t="n">
        <v>0</v>
      </c>
      <c r="S227" t="n">
        <v>0</v>
      </c>
      <c r="T227" t="n">
        <v>0</v>
      </c>
      <c r="U227" s="2" t="inlineStr"/>
    </row>
    <row r="228" ht="15" customHeight="1">
      <c r="A228" t="inlineStr">
        <is>
          <t>A 7919-2023</t>
        </is>
      </c>
      <c r="B228" t="inlineStr">
        <is>
          <t>avverkningsanmälan</t>
        </is>
      </c>
      <c r="C228" t="inlineStr">
        <is>
          <t>Föryngringsavverkning</t>
        </is>
      </c>
      <c r="D228" s="1" t="n">
        <v>44973</v>
      </c>
      <c r="E228" s="1" t="n">
        <v>46223</v>
      </c>
      <c r="F228" t="inlineStr">
        <is>
          <t>VÄRMLANDS LÄN</t>
        </is>
      </c>
      <c r="G228" t="inlineStr">
        <is>
          <t>FORSHAGA</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53585-2024</t>
        </is>
      </c>
      <c r="B229" t="inlineStr">
        <is>
          <t>avverkningsanmälan</t>
        </is>
      </c>
      <c r="C229" t="inlineStr">
        <is>
          <t>Föryngringsavverkning</t>
        </is>
      </c>
      <c r="D229" s="1" t="n">
        <v>45614</v>
      </c>
      <c r="E229" s="1" t="n">
        <v>46223</v>
      </c>
      <c r="F229" t="inlineStr">
        <is>
          <t>VÄRMLANDS LÄN</t>
        </is>
      </c>
      <c r="G229" t="inlineStr">
        <is>
          <t>FORSHAGA</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10383-2023</t>
        </is>
      </c>
      <c r="B230" t="inlineStr">
        <is>
          <t>avverkningsanmälan</t>
        </is>
      </c>
      <c r="C230" t="inlineStr">
        <is>
          <t>Föryngringsavverkning</t>
        </is>
      </c>
      <c r="D230" s="1" t="n">
        <v>44987</v>
      </c>
      <c r="E230" s="1" t="n">
        <v>46223</v>
      </c>
      <c r="F230" t="inlineStr">
        <is>
          <t>VÄRMLANDS LÄN</t>
        </is>
      </c>
      <c r="G230" t="inlineStr">
        <is>
          <t>FORSHAGA</t>
        </is>
      </c>
      <c r="I230" t="n">
        <v>1.3</v>
      </c>
      <c r="J230" t="n">
        <v>0</v>
      </c>
      <c r="K230" t="n">
        <v>0</v>
      </c>
      <c r="L230" t="n">
        <v>0</v>
      </c>
      <c r="M230" t="n">
        <v>0</v>
      </c>
      <c r="N230" t="n">
        <v>0</v>
      </c>
      <c r="O230" t="n">
        <v>0</v>
      </c>
      <c r="P230" t="n">
        <v>0</v>
      </c>
      <c r="Q230" t="n">
        <v>0</v>
      </c>
      <c r="R230" t="n">
        <v>0</v>
      </c>
      <c r="S230" t="n">
        <v>0</v>
      </c>
      <c r="T230" t="n">
        <v>0</v>
      </c>
      <c r="U230" s="2" t="inlineStr"/>
    </row>
    <row r="231" ht="15" customHeight="1">
      <c r="A231" t="inlineStr">
        <is>
          <t>A 2812-2023</t>
        </is>
      </c>
      <c r="B231" t="inlineStr">
        <is>
          <t>avverkningsanmälan</t>
        </is>
      </c>
      <c r="C231" t="inlineStr">
        <is>
          <t>Föryngringsavverkning</t>
        </is>
      </c>
      <c r="D231" s="1" t="n">
        <v>44944</v>
      </c>
      <c r="E231" s="1" t="n">
        <v>46223</v>
      </c>
      <c r="F231" t="inlineStr">
        <is>
          <t>VÄRMLANDS LÄN</t>
        </is>
      </c>
      <c r="G231" t="inlineStr">
        <is>
          <t>FORSHAGA</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46300-2022</t>
        </is>
      </c>
      <c r="B232" t="inlineStr">
        <is>
          <t>avverkningsanmälan</t>
        </is>
      </c>
      <c r="C232" t="inlineStr">
        <is>
          <t>Föryngringsavverkning</t>
        </is>
      </c>
      <c r="D232" s="1" t="n">
        <v>44847</v>
      </c>
      <c r="E232" s="1" t="n">
        <v>46223</v>
      </c>
      <c r="F232" t="inlineStr">
        <is>
          <t>VÄRMLANDS LÄN</t>
        </is>
      </c>
      <c r="G232" t="inlineStr">
        <is>
          <t>FORSHAGA</t>
        </is>
      </c>
      <c r="I232" t="n">
        <v>0.7</v>
      </c>
      <c r="J232" t="n">
        <v>0</v>
      </c>
      <c r="K232" t="n">
        <v>0</v>
      </c>
      <c r="L232" t="n">
        <v>0</v>
      </c>
      <c r="M232" t="n">
        <v>0</v>
      </c>
      <c r="N232" t="n">
        <v>0</v>
      </c>
      <c r="O232" t="n">
        <v>0</v>
      </c>
      <c r="P232" t="n">
        <v>0</v>
      </c>
      <c r="Q232" t="n">
        <v>0</v>
      </c>
      <c r="R232" t="n">
        <v>0</v>
      </c>
      <c r="S232" t="n">
        <v>0</v>
      </c>
      <c r="T232" t="n">
        <v>0</v>
      </c>
      <c r="U232" s="2" t="inlineStr"/>
    </row>
    <row r="233" ht="15" customHeight="1">
      <c r="A233" t="inlineStr">
        <is>
          <t>A 70214-2021</t>
        </is>
      </c>
      <c r="B233" t="inlineStr">
        <is>
          <t>avverkningsanmälan</t>
        </is>
      </c>
      <c r="C233" t="inlineStr">
        <is>
          <t>Föryngringsavverkning</t>
        </is>
      </c>
      <c r="D233" s="1" t="n">
        <v>44535</v>
      </c>
      <c r="E233" s="1" t="n">
        <v>46223</v>
      </c>
      <c r="F233" t="inlineStr">
        <is>
          <t>VÄRMLANDS LÄN</t>
        </is>
      </c>
      <c r="G233" t="inlineStr">
        <is>
          <t>FORSHAGA</t>
        </is>
      </c>
      <c r="I233" t="n">
        <v>5.3</v>
      </c>
      <c r="J233" t="n">
        <v>0</v>
      </c>
      <c r="K233" t="n">
        <v>0</v>
      </c>
      <c r="L233" t="n">
        <v>0</v>
      </c>
      <c r="M233" t="n">
        <v>0</v>
      </c>
      <c r="N233" t="n">
        <v>0</v>
      </c>
      <c r="O233" t="n">
        <v>0</v>
      </c>
      <c r="P233" t="n">
        <v>0</v>
      </c>
      <c r="Q233" t="n">
        <v>0</v>
      </c>
      <c r="R233" t="n">
        <v>0</v>
      </c>
      <c r="S233" t="n">
        <v>0</v>
      </c>
      <c r="T233" t="n">
        <v>0</v>
      </c>
      <c r="U233" s="2" t="inlineStr"/>
    </row>
    <row r="234" ht="15" customHeight="1">
      <c r="A234" t="inlineStr">
        <is>
          <t>A 32795-2023</t>
        </is>
      </c>
      <c r="B234" t="inlineStr">
        <is>
          <t>avverkningsanmälan</t>
        </is>
      </c>
      <c r="C234" t="inlineStr">
        <is>
          <t>Föryngringsavverkning</t>
        </is>
      </c>
      <c r="D234" s="1" t="n">
        <v>45124</v>
      </c>
      <c r="E234" s="1" t="n">
        <v>46223</v>
      </c>
      <c r="F234" t="inlineStr">
        <is>
          <t>VÄRMLANDS LÄN</t>
        </is>
      </c>
      <c r="G234" t="inlineStr">
        <is>
          <t>FORSHAGA</t>
        </is>
      </c>
      <c r="H234" t="inlineStr">
        <is>
          <t>Kommuner</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32822-2023</t>
        </is>
      </c>
      <c r="B235" t="inlineStr">
        <is>
          <t>avverkningsanmälan</t>
        </is>
      </c>
      <c r="C235" t="inlineStr">
        <is>
          <t>Föryngringsavverkning</t>
        </is>
      </c>
      <c r="D235" s="1" t="n">
        <v>45124</v>
      </c>
      <c r="E235" s="1" t="n">
        <v>46223</v>
      </c>
      <c r="F235" t="inlineStr">
        <is>
          <t>VÄRMLANDS LÄN</t>
        </is>
      </c>
      <c r="G235" t="inlineStr">
        <is>
          <t>FORSHAGA</t>
        </is>
      </c>
      <c r="H235" t="inlineStr">
        <is>
          <t>Kommuner</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32830-2023</t>
        </is>
      </c>
      <c r="B236" t="inlineStr">
        <is>
          <t>avverkningsanmälan</t>
        </is>
      </c>
      <c r="C236" t="inlineStr">
        <is>
          <t>Föryngringsavverkning</t>
        </is>
      </c>
      <c r="D236" s="1" t="n">
        <v>45124</v>
      </c>
      <c r="E236" s="1" t="n">
        <v>46223</v>
      </c>
      <c r="F236" t="inlineStr">
        <is>
          <t>VÄRMLANDS LÄN</t>
        </is>
      </c>
      <c r="G236" t="inlineStr">
        <is>
          <t>FORSHAGA</t>
        </is>
      </c>
      <c r="H236" t="inlineStr">
        <is>
          <t>Kommuner</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34861-2022</t>
        </is>
      </c>
      <c r="B237" t="inlineStr">
        <is>
          <t>avverkningsanmälan</t>
        </is>
      </c>
      <c r="C237" t="inlineStr">
        <is>
          <t>Föryngringsavverkning</t>
        </is>
      </c>
      <c r="D237" s="1" t="n">
        <v>44796</v>
      </c>
      <c r="E237" s="1" t="n">
        <v>46223</v>
      </c>
      <c r="F237" t="inlineStr">
        <is>
          <t>VÄRMLANDS LÄN</t>
        </is>
      </c>
      <c r="G237" t="inlineStr">
        <is>
          <t>FORSHAGA</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18229-2025</t>
        </is>
      </c>
      <c r="B238" t="inlineStr">
        <is>
          <t>avverkningsanmälan</t>
        </is>
      </c>
      <c r="C238" t="inlineStr">
        <is>
          <t>Föryngringsavverkning</t>
        </is>
      </c>
      <c r="D238" s="1" t="n">
        <v>45761</v>
      </c>
      <c r="E238" s="1" t="n">
        <v>46223</v>
      </c>
      <c r="F238" t="inlineStr">
        <is>
          <t>VÄRMLANDS LÄN</t>
        </is>
      </c>
      <c r="G238" t="inlineStr">
        <is>
          <t>FORSHAGA</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1409-2025</t>
        </is>
      </c>
      <c r="B239" t="inlineStr">
        <is>
          <t>avverkningsanmälan</t>
        </is>
      </c>
      <c r="C239" t="inlineStr">
        <is>
          <t>Föryngringsavverkning</t>
        </is>
      </c>
      <c r="D239" s="1" t="n">
        <v>45667</v>
      </c>
      <c r="E239" s="1" t="n">
        <v>46223</v>
      </c>
      <c r="F239" t="inlineStr">
        <is>
          <t>VÄRMLANDS LÄN</t>
        </is>
      </c>
      <c r="G239" t="inlineStr">
        <is>
          <t>FORSHAGA</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6118-2024</t>
        </is>
      </c>
      <c r="B240" t="inlineStr">
        <is>
          <t>avverkningsanmälan</t>
        </is>
      </c>
      <c r="C240" t="inlineStr">
        <is>
          <t>Föryngringsavverkning</t>
        </is>
      </c>
      <c r="D240" s="1" t="n">
        <v>45337</v>
      </c>
      <c r="E240" s="1" t="n">
        <v>46223</v>
      </c>
      <c r="F240" t="inlineStr">
        <is>
          <t>VÄRMLANDS LÄN</t>
        </is>
      </c>
      <c r="G240" t="inlineStr">
        <is>
          <t>FORSHAGA</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22582-2024</t>
        </is>
      </c>
      <c r="B241" t="inlineStr">
        <is>
          <t>avverkningsanmälan</t>
        </is>
      </c>
      <c r="C241" t="inlineStr">
        <is>
          <t>Avverkning för annat ändamål</t>
        </is>
      </c>
      <c r="D241" s="1" t="n">
        <v>45447</v>
      </c>
      <c r="E241" s="1" t="n">
        <v>46223</v>
      </c>
      <c r="F241" t="inlineStr">
        <is>
          <t>VÄRMLANDS LÄN</t>
        </is>
      </c>
      <c r="G241" t="inlineStr">
        <is>
          <t>FORSHAGA</t>
        </is>
      </c>
      <c r="H241" t="inlineStr">
        <is>
          <t>Bergvik skog väst AB</t>
        </is>
      </c>
      <c r="I241" t="n">
        <v>4.9</v>
      </c>
      <c r="J241" t="n">
        <v>0</v>
      </c>
      <c r="K241" t="n">
        <v>0</v>
      </c>
      <c r="L241" t="n">
        <v>0</v>
      </c>
      <c r="M241" t="n">
        <v>0</v>
      </c>
      <c r="N241" t="n">
        <v>0</v>
      </c>
      <c r="O241" t="n">
        <v>0</v>
      </c>
      <c r="P241" t="n">
        <v>0</v>
      </c>
      <c r="Q241" t="n">
        <v>0</v>
      </c>
      <c r="R241" t="n">
        <v>0</v>
      </c>
      <c r="S241" t="n">
        <v>0</v>
      </c>
      <c r="T241" t="n">
        <v>0</v>
      </c>
      <c r="U241" s="2" t="inlineStr"/>
    </row>
    <row r="242" ht="15" customHeight="1">
      <c r="A242" t="inlineStr">
        <is>
          <t>A 50635-2023</t>
        </is>
      </c>
      <c r="B242" t="inlineStr">
        <is>
          <t>avverkningsanmälan</t>
        </is>
      </c>
      <c r="C242" t="inlineStr">
        <is>
          <t>Föryngringsavverkning</t>
        </is>
      </c>
      <c r="D242" s="1" t="n">
        <v>45217</v>
      </c>
      <c r="E242" s="1" t="n">
        <v>46223</v>
      </c>
      <c r="F242" t="inlineStr">
        <is>
          <t>VÄRMLANDS LÄN</t>
        </is>
      </c>
      <c r="G242" t="inlineStr">
        <is>
          <t>FORSHAGA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10989-2025</t>
        </is>
      </c>
      <c r="B243" t="inlineStr">
        <is>
          <t>avverkningsanmälan</t>
        </is>
      </c>
      <c r="C243" t="inlineStr">
        <is>
          <t>Föryngringsavverkning</t>
        </is>
      </c>
      <c r="D243" s="1" t="n">
        <v>45723</v>
      </c>
      <c r="E243" s="1" t="n">
        <v>46223</v>
      </c>
      <c r="F243" t="inlineStr">
        <is>
          <t>VÄRMLANDS LÄN</t>
        </is>
      </c>
      <c r="G243" t="inlineStr">
        <is>
          <t>FORSHAGA</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65062-2023</t>
        </is>
      </c>
      <c r="B244" t="inlineStr">
        <is>
          <t>avverkningsanmälan</t>
        </is>
      </c>
      <c r="C244" t="inlineStr">
        <is>
          <t>Föryngringsavverkning</t>
        </is>
      </c>
      <c r="D244" s="1" t="n">
        <v>45287</v>
      </c>
      <c r="E244" s="1" t="n">
        <v>46223</v>
      </c>
      <c r="F244" t="inlineStr">
        <is>
          <t>VÄRMLANDS LÄN</t>
        </is>
      </c>
      <c r="G244" t="inlineStr">
        <is>
          <t>FORSHAGA</t>
        </is>
      </c>
      <c r="H244" t="inlineStr">
        <is>
          <t>Bergvik skog väst AB</t>
        </is>
      </c>
      <c r="I244" t="n">
        <v>11.3</v>
      </c>
      <c r="J244" t="n">
        <v>0</v>
      </c>
      <c r="K244" t="n">
        <v>0</v>
      </c>
      <c r="L244" t="n">
        <v>0</v>
      </c>
      <c r="M244" t="n">
        <v>0</v>
      </c>
      <c r="N244" t="n">
        <v>0</v>
      </c>
      <c r="O244" t="n">
        <v>0</v>
      </c>
      <c r="P244" t="n">
        <v>0</v>
      </c>
      <c r="Q244" t="n">
        <v>0</v>
      </c>
      <c r="R244" t="n">
        <v>0</v>
      </c>
      <c r="S244" t="n">
        <v>0</v>
      </c>
      <c r="T244" t="n">
        <v>0</v>
      </c>
      <c r="U244" s="2" t="inlineStr"/>
    </row>
    <row r="245" ht="15" customHeight="1">
      <c r="A245" t="inlineStr">
        <is>
          <t>A 28327-2022</t>
        </is>
      </c>
      <c r="B245" t="inlineStr">
        <is>
          <t>avverkningsanmälan</t>
        </is>
      </c>
      <c r="C245" t="inlineStr">
        <is>
          <t>Föryngringsavverkning</t>
        </is>
      </c>
      <c r="D245" s="1" t="n">
        <v>44747</v>
      </c>
      <c r="E245" s="1" t="n">
        <v>46223</v>
      </c>
      <c r="F245" t="inlineStr">
        <is>
          <t>VÄRMLANDS LÄN</t>
        </is>
      </c>
      <c r="G245" t="inlineStr">
        <is>
          <t>FORSHAGA</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15663-2024</t>
        </is>
      </c>
      <c r="B246" t="inlineStr">
        <is>
          <t>avverkningsanmälan</t>
        </is>
      </c>
      <c r="C246" t="inlineStr">
        <is>
          <t>Avverkning för annat ändamål</t>
        </is>
      </c>
      <c r="D246" s="1" t="n">
        <v>45404</v>
      </c>
      <c r="E246" s="1" t="n">
        <v>46223</v>
      </c>
      <c r="F246" t="inlineStr">
        <is>
          <t>VÄRMLANDS LÄN</t>
        </is>
      </c>
      <c r="G246" t="inlineStr">
        <is>
          <t>FORSHAGA</t>
        </is>
      </c>
      <c r="I246" t="n">
        <v>0.4</v>
      </c>
      <c r="J246" t="n">
        <v>0</v>
      </c>
      <c r="K246" t="n">
        <v>0</v>
      </c>
      <c r="L246" t="n">
        <v>0</v>
      </c>
      <c r="M246" t="n">
        <v>0</v>
      </c>
      <c r="N246" t="n">
        <v>0</v>
      </c>
      <c r="O246" t="n">
        <v>0</v>
      </c>
      <c r="P246" t="n">
        <v>0</v>
      </c>
      <c r="Q246" t="n">
        <v>0</v>
      </c>
      <c r="R246" t="n">
        <v>0</v>
      </c>
      <c r="S246" t="n">
        <v>0</v>
      </c>
      <c r="T246" t="n">
        <v>0</v>
      </c>
      <c r="U246" s="2" t="inlineStr"/>
    </row>
    <row r="247" ht="15" customHeight="1">
      <c r="A247" t="inlineStr">
        <is>
          <t>A 9693-2025</t>
        </is>
      </c>
      <c r="B247" t="inlineStr">
        <is>
          <t>avverkningsanmälan</t>
        </is>
      </c>
      <c r="C247" t="inlineStr">
        <is>
          <t>Föryngringsavverkning</t>
        </is>
      </c>
      <c r="D247" s="1" t="n">
        <v>45716</v>
      </c>
      <c r="E247" s="1" t="n">
        <v>46223</v>
      </c>
      <c r="F247" t="inlineStr">
        <is>
          <t>VÄRMLANDS LÄN</t>
        </is>
      </c>
      <c r="G247" t="inlineStr">
        <is>
          <t>FORSHAGA</t>
        </is>
      </c>
      <c r="H247" t="inlineStr">
        <is>
          <t>Bergvik skog väst AB</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30859-2024</t>
        </is>
      </c>
      <c r="B248" t="inlineStr">
        <is>
          <t>avverkningsanmälan</t>
        </is>
      </c>
      <c r="C248" t="inlineStr">
        <is>
          <t>Föryngringsavverkning</t>
        </is>
      </c>
      <c r="D248" s="1" t="n">
        <v>45497</v>
      </c>
      <c r="E248" s="1" t="n">
        <v>46223</v>
      </c>
      <c r="F248" t="inlineStr">
        <is>
          <t>VÄRMLANDS LÄN</t>
        </is>
      </c>
      <c r="G248" t="inlineStr">
        <is>
          <t>FORSHAGA</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58114-2024</t>
        </is>
      </c>
      <c r="B249" t="inlineStr">
        <is>
          <t>avverkningsanmälan</t>
        </is>
      </c>
      <c r="C249" t="inlineStr">
        <is>
          <t>Föryngringsavverkning</t>
        </is>
      </c>
      <c r="D249" s="1" t="n">
        <v>45632</v>
      </c>
      <c r="E249" s="1" t="n">
        <v>46223</v>
      </c>
      <c r="F249" t="inlineStr">
        <is>
          <t>VÄRMLANDS LÄN</t>
        </is>
      </c>
      <c r="G249" t="inlineStr">
        <is>
          <t>FORSHAGA</t>
        </is>
      </c>
      <c r="I249" t="n">
        <v>5.1</v>
      </c>
      <c r="J249" t="n">
        <v>0</v>
      </c>
      <c r="K249" t="n">
        <v>0</v>
      </c>
      <c r="L249" t="n">
        <v>0</v>
      </c>
      <c r="M249" t="n">
        <v>0</v>
      </c>
      <c r="N249" t="n">
        <v>0</v>
      </c>
      <c r="O249" t="n">
        <v>0</v>
      </c>
      <c r="P249" t="n">
        <v>0</v>
      </c>
      <c r="Q249" t="n">
        <v>0</v>
      </c>
      <c r="R249" t="n">
        <v>0</v>
      </c>
      <c r="S249" t="n">
        <v>0</v>
      </c>
      <c r="T249" t="n">
        <v>0</v>
      </c>
      <c r="U249" s="2" t="inlineStr"/>
    </row>
    <row r="250" ht="15" customHeight="1">
      <c r="A250" t="inlineStr">
        <is>
          <t>A 6947-2025</t>
        </is>
      </c>
      <c r="B250" t="inlineStr">
        <is>
          <t>avverkningsanmälan</t>
        </is>
      </c>
      <c r="C250" t="inlineStr">
        <is>
          <t>Avverkning för att bevara och utveckla /försöksver</t>
        </is>
      </c>
      <c r="D250" s="1" t="n">
        <v>45701</v>
      </c>
      <c r="E250" s="1" t="n">
        <v>46223</v>
      </c>
      <c r="F250" t="inlineStr">
        <is>
          <t>VÄRMLANDS LÄN</t>
        </is>
      </c>
      <c r="G250" t="inlineStr">
        <is>
          <t>FORSHAGA</t>
        </is>
      </c>
      <c r="H250" t="inlineStr">
        <is>
          <t>Bergvik skog väst AB</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35336-2024</t>
        </is>
      </c>
      <c r="B251" t="inlineStr">
        <is>
          <t>avverkningsanmälan</t>
        </is>
      </c>
      <c r="C251" t="inlineStr">
        <is>
          <t>Föryngringsavverkning</t>
        </is>
      </c>
      <c r="D251" s="1" t="n">
        <v>45530</v>
      </c>
      <c r="E251" s="1" t="n">
        <v>46223</v>
      </c>
      <c r="F251" t="inlineStr">
        <is>
          <t>VÄRMLANDS LÄN</t>
        </is>
      </c>
      <c r="G251" t="inlineStr">
        <is>
          <t>FORSHAGA</t>
        </is>
      </c>
      <c r="H251" t="inlineStr">
        <is>
          <t>Kommuner</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22619-2025</t>
        </is>
      </c>
      <c r="B252" t="inlineStr">
        <is>
          <t>avverkningsanmälan</t>
        </is>
      </c>
      <c r="C252" t="inlineStr">
        <is>
          <t>Föryngringsavverkning</t>
        </is>
      </c>
      <c r="D252" s="1" t="n">
        <v>45789</v>
      </c>
      <c r="E252" s="1" t="n">
        <v>46223</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8952-2024</t>
        </is>
      </c>
      <c r="B253" t="inlineStr">
        <is>
          <t>avverkningsanmälan</t>
        </is>
      </c>
      <c r="C253" t="inlineStr">
        <is>
          <t>Föryngringsavverkning</t>
        </is>
      </c>
      <c r="D253" s="1" t="n">
        <v>45355</v>
      </c>
      <c r="E253" s="1" t="n">
        <v>46223</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25462-2025</t>
        </is>
      </c>
      <c r="B254" t="inlineStr">
        <is>
          <t>avverkningsanmälan</t>
        </is>
      </c>
      <c r="C254" t="inlineStr">
        <is>
          <t>Föryngringsavverkning</t>
        </is>
      </c>
      <c r="D254" s="1" t="n">
        <v>45802</v>
      </c>
      <c r="E254" s="1" t="n">
        <v>46223</v>
      </c>
      <c r="F254" t="inlineStr">
        <is>
          <t>VÄRMLANDS LÄN</t>
        </is>
      </c>
      <c r="G254" t="inlineStr">
        <is>
          <t>FORSHAGA</t>
        </is>
      </c>
      <c r="H254" t="inlineStr">
        <is>
          <t>Bergvik skog väst AB</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S 915-2022</t>
        </is>
      </c>
      <c r="B255" t="inlineStr">
        <is>
          <t>samrådsanmälan</t>
        </is>
      </c>
      <c r="C255" t="inlineStr">
        <is>
          <t>Skogsgödsling</t>
        </is>
      </c>
      <c r="D255" s="1" t="n">
        <v>44606</v>
      </c>
      <c r="E255" s="1" t="n">
        <v>46223</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s="2" t="inlineStr"/>
    </row>
    <row r="256" ht="15" customHeight="1">
      <c r="A256" t="inlineStr">
        <is>
          <t>S 870-2022</t>
        </is>
      </c>
      <c r="B256" t="inlineStr">
        <is>
          <t>samrådsanmälan</t>
        </is>
      </c>
      <c r="C256" t="inlineStr">
        <is>
          <t>Skogsgödsling</t>
        </is>
      </c>
      <c r="D256" s="1" t="n">
        <v>44606</v>
      </c>
      <c r="E256" s="1" t="n">
        <v>46223</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s="2" t="inlineStr"/>
    </row>
    <row r="257" ht="15" customHeight="1">
      <c r="A257" t="inlineStr">
        <is>
          <t>S 933-2022</t>
        </is>
      </c>
      <c r="B257" t="inlineStr">
        <is>
          <t>samrådsanmälan</t>
        </is>
      </c>
      <c r="C257" t="inlineStr">
        <is>
          <t>Skogsgödsling</t>
        </is>
      </c>
      <c r="D257" s="1" t="n">
        <v>44606</v>
      </c>
      <c r="E257" s="1" t="n">
        <v>46223</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s="2" t="inlineStr"/>
    </row>
    <row r="258" ht="15" customHeight="1">
      <c r="A258" t="inlineStr">
        <is>
          <t>S 5497-2022</t>
        </is>
      </c>
      <c r="B258" t="inlineStr">
        <is>
          <t>samrådsanmälan</t>
        </is>
      </c>
      <c r="C258" t="inlineStr">
        <is>
          <t>Skogsgödsling</t>
        </is>
      </c>
      <c r="D258" s="1" t="n">
        <v>44834</v>
      </c>
      <c r="E258" s="1" t="n">
        <v>46223</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s="2" t="inlineStr"/>
    </row>
    <row r="259" ht="15" customHeight="1">
      <c r="A259" t="inlineStr">
        <is>
          <t>S 4414-2023</t>
        </is>
      </c>
      <c r="B259" t="inlineStr">
        <is>
          <t>samrådsanmälan</t>
        </is>
      </c>
      <c r="C259" t="inlineStr">
        <is>
          <t>Skogsgödsling</t>
        </is>
      </c>
      <c r="D259" s="1" t="n">
        <v>45266</v>
      </c>
      <c r="E259" s="1" t="n">
        <v>46223</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S 4411-2023</t>
        </is>
      </c>
      <c r="B260" t="inlineStr">
        <is>
          <t>samrådsanmälan</t>
        </is>
      </c>
      <c r="C260" t="inlineStr">
        <is>
          <t>Skogsgödsling</t>
        </is>
      </c>
      <c r="D260" s="1" t="n">
        <v>45266</v>
      </c>
      <c r="E260" s="1" t="n">
        <v>46223</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s="2" t="inlineStr"/>
    </row>
    <row r="261" ht="15" customHeight="1">
      <c r="A261" t="inlineStr">
        <is>
          <t>S 6974-2022</t>
        </is>
      </c>
      <c r="B261" t="inlineStr">
        <is>
          <t>samrådsanmälan</t>
        </is>
      </c>
      <c r="C261" t="inlineStr">
        <is>
          <t>Skogsgödsling</t>
        </is>
      </c>
      <c r="D261" s="1" t="n">
        <v>44901</v>
      </c>
      <c r="E261" s="1" t="n">
        <v>46223</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s="2" t="inlineStr"/>
    </row>
    <row r="262" ht="15" customHeight="1">
      <c r="A262" t="inlineStr">
        <is>
          <t>S 6964-2022</t>
        </is>
      </c>
      <c r="B262" t="inlineStr">
        <is>
          <t>samrådsanmälan</t>
        </is>
      </c>
      <c r="C262" t="inlineStr">
        <is>
          <t>Skogsgödsling</t>
        </is>
      </c>
      <c r="D262" s="1" t="n">
        <v>44901</v>
      </c>
      <c r="E262" s="1" t="n">
        <v>46223</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s="2" t="inlineStr"/>
    </row>
    <row r="263" ht="15" customHeight="1">
      <c r="A263" t="inlineStr">
        <is>
          <t>S 4403-2023</t>
        </is>
      </c>
      <c r="B263" t="inlineStr">
        <is>
          <t>samrådsanmälan</t>
        </is>
      </c>
      <c r="C263" t="inlineStr">
        <is>
          <t>Skogsgödsling</t>
        </is>
      </c>
      <c r="D263" s="1" t="n">
        <v>45266</v>
      </c>
      <c r="E263" s="1" t="n">
        <v>46223</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s="2" t="inlineStr"/>
    </row>
    <row r="264" ht="15" customHeight="1">
      <c r="A264" t="inlineStr">
        <is>
          <t>S 4429-2023</t>
        </is>
      </c>
      <c r="B264" t="inlineStr">
        <is>
          <t>samrådsanmälan</t>
        </is>
      </c>
      <c r="C264" t="inlineStr">
        <is>
          <t>Skogsgödsling</t>
        </is>
      </c>
      <c r="D264" s="1" t="n">
        <v>45266</v>
      </c>
      <c r="E264" s="1" t="n">
        <v>46223</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46223</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2026-07-20T01:48:12Z</dcterms:created>
  <dcterms:modified xmlns:dcterms="http://purl.org/dc/terms/" xmlns:xsi="http://www.w3.org/2001/XMLSchema-instance" xsi:type="dcterms:W3CDTF">2026-07-20T01:48:13Z</dcterms:modified>
</cp:coreProperties>
</file>