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46136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46136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3713-2024</t>
        </is>
      </c>
      <c r="B6" s="1" t="n">
        <v>45321.46277777778</v>
      </c>
      <c r="C6" s="1" t="n">
        <v>46136</v>
      </c>
      <c r="D6" t="inlineStr">
        <is>
          <t>VÄRMLANDS LÄN</t>
        </is>
      </c>
      <c r="E6" t="inlineStr">
        <is>
          <t>FORSHAGA</t>
        </is>
      </c>
      <c r="G6" t="n">
        <v>6.1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Mindre vattensalamander
Vanlig padda</t>
        </is>
      </c>
      <c r="S6">
        <f>HYPERLINK("https://klasma.github.io/Logging_1763/artfynd/A 3713-2024 artfynd.xlsx", "A 3713-2024")</f>
        <v/>
      </c>
      <c r="T6">
        <f>HYPERLINK("https://klasma.github.io/Logging_1763/kartor/A 3713-2024 karta.png", "A 3713-2024")</f>
        <v/>
      </c>
      <c r="V6">
        <f>HYPERLINK("https://klasma.github.io/Logging_1763/klagomål/A 3713-2024 FSC-klagomål.docx", "A 3713-2024")</f>
        <v/>
      </c>
      <c r="W6">
        <f>HYPERLINK("https://klasma.github.io/Logging_1763/klagomålsmail/A 3713-2024 FSC-klagomål mail.docx", "A 3713-2024")</f>
        <v/>
      </c>
      <c r="X6">
        <f>HYPERLINK("https://klasma.github.io/Logging_1763/tillsyn/A 3713-2024 tillsynsbegäran.docx", "A 3713-2024")</f>
        <v/>
      </c>
      <c r="Y6">
        <f>HYPERLINK("https://klasma.github.io/Logging_1763/tillsynsmail/A 3713-2024 tillsynsbegäran mail.docx", "A 3713-2024")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46136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46136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46136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46136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46136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46136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46136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46136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46136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46136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46136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46136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46136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46136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46136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46136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46136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46136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46136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46136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46136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46136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46136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46136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46136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46136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46136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46136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46136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46136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46136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46136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46136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46136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46136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46136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46136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46136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46530-2023</t>
        </is>
      </c>
      <c r="B59" s="1" t="n">
        <v>45197.84850694444</v>
      </c>
      <c r="C59" s="1" t="n">
        <v>46136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46136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46136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46136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46136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46136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46136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46136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46136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63318-2023</t>
        </is>
      </c>
      <c r="B68" s="1" t="n">
        <v>45274</v>
      </c>
      <c r="C68" s="1" t="n">
        <v>46136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67321-2021</t>
        </is>
      </c>
      <c r="B69" s="1" t="n">
        <v>44523</v>
      </c>
      <c r="C69" s="1" t="n">
        <v>46136</v>
      </c>
      <c r="D69" t="inlineStr">
        <is>
          <t>VÄRMLANDS LÄN</t>
        </is>
      </c>
      <c r="E69" t="inlineStr">
        <is>
          <t>FORSHAGA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35573-2023</t>
        </is>
      </c>
      <c r="B70" s="1" t="n">
        <v>45147</v>
      </c>
      <c r="C70" s="1" t="n">
        <v>46136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35335-2024</t>
        </is>
      </c>
      <c r="B71" s="1" t="n">
        <v>45530</v>
      </c>
      <c r="C71" s="1" t="n">
        <v>46136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46136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46136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46136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34849-2024</t>
        </is>
      </c>
      <c r="B75" s="1" t="n">
        <v>45527</v>
      </c>
      <c r="C75" s="1" t="n">
        <v>46136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22295-2021</t>
        </is>
      </c>
      <c r="B76" s="1" t="n">
        <v>44326.45363425926</v>
      </c>
      <c r="C76" s="1" t="n">
        <v>46136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15553-2022</t>
        </is>
      </c>
      <c r="B77" s="1" t="n">
        <v>44662</v>
      </c>
      <c r="C77" s="1" t="n">
        <v>46136</v>
      </c>
      <c r="D77" t="inlineStr">
        <is>
          <t>VÄRMLANDS LÄN</t>
        </is>
      </c>
      <c r="E77" t="inlineStr">
        <is>
          <t>FORSHAGA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46136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56928-2025</t>
        </is>
      </c>
      <c r="B79" s="1" t="n">
        <v>45978</v>
      </c>
      <c r="C79" s="1" t="n">
        <v>46136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827-2026</t>
        </is>
      </c>
      <c r="B80" s="1" t="n">
        <v>46030</v>
      </c>
      <c r="C80" s="1" t="n">
        <v>46136</v>
      </c>
      <c r="D80" t="inlineStr">
        <is>
          <t>VÄRMLANDS LÄN</t>
        </is>
      </c>
      <c r="E80" t="inlineStr">
        <is>
          <t>FORSHAGA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35855-2023</t>
        </is>
      </c>
      <c r="B81" s="1" t="n">
        <v>45148</v>
      </c>
      <c r="C81" s="1" t="n">
        <v>46136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11765-2025</t>
        </is>
      </c>
      <c r="B82" s="1" t="n">
        <v>45727.6646412037</v>
      </c>
      <c r="C82" s="1" t="n">
        <v>46136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46136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46136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10960-2023</t>
        </is>
      </c>
      <c r="B85" s="1" t="n">
        <v>44991.57304398148</v>
      </c>
      <c r="C85" s="1" t="n">
        <v>46136</v>
      </c>
      <c r="D85" t="inlineStr">
        <is>
          <t>VÄRMLANDS LÄN</t>
        </is>
      </c>
      <c r="E85" t="inlineStr">
        <is>
          <t>FORSHAGA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54692-2024</t>
        </is>
      </c>
      <c r="B86" s="1" t="n">
        <v>45618</v>
      </c>
      <c r="C86" s="1" t="n">
        <v>46136</v>
      </c>
      <c r="D86" t="inlineStr">
        <is>
          <t>VÄRMLANDS LÄN</t>
        </is>
      </c>
      <c r="E86" t="inlineStr">
        <is>
          <t>FORSHAGA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65915-2021</t>
        </is>
      </c>
      <c r="B87" s="1" t="n">
        <v>44517</v>
      </c>
      <c r="C87" s="1" t="n">
        <v>46136</v>
      </c>
      <c r="D87" t="inlineStr">
        <is>
          <t>VÄRMLANDS LÄN</t>
        </is>
      </c>
      <c r="E87" t="inlineStr">
        <is>
          <t>FORSHAGA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26869-2024</t>
        </is>
      </c>
      <c r="B88" s="1" t="n">
        <v>45470.6132175926</v>
      </c>
      <c r="C88" s="1" t="n">
        <v>46136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46136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62922-2023</t>
        </is>
      </c>
      <c r="B90" s="1" t="n">
        <v>45272</v>
      </c>
      <c r="C90" s="1" t="n">
        <v>46136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34886-2024</t>
        </is>
      </c>
      <c r="B91" s="1" t="n">
        <v>45527</v>
      </c>
      <c r="C91" s="1" t="n">
        <v>46136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27351-2025</t>
        </is>
      </c>
      <c r="B92" s="1" t="n">
        <v>45812.62601851852</v>
      </c>
      <c r="C92" s="1" t="n">
        <v>46136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27353-2025</t>
        </is>
      </c>
      <c r="B93" s="1" t="n">
        <v>45812.62880787037</v>
      </c>
      <c r="C93" s="1" t="n">
        <v>46136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53706-2022</t>
        </is>
      </c>
      <c r="B94" s="1" t="n">
        <v>44880</v>
      </c>
      <c r="C94" s="1" t="n">
        <v>46136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33222-2023</t>
        </is>
      </c>
      <c r="B95" s="1" t="n">
        <v>45127</v>
      </c>
      <c r="C95" s="1" t="n">
        <v>46136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33229-2023</t>
        </is>
      </c>
      <c r="B96" s="1" t="n">
        <v>45127</v>
      </c>
      <c r="C96" s="1" t="n">
        <v>46136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17117-2025</t>
        </is>
      </c>
      <c r="B97" s="1" t="n">
        <v>45755.68284722222</v>
      </c>
      <c r="C97" s="1" t="n">
        <v>46136</v>
      </c>
      <c r="D97" t="inlineStr">
        <is>
          <t>VÄRMLANDS LÄN</t>
        </is>
      </c>
      <c r="E97" t="inlineStr">
        <is>
          <t>FORSHAGA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42370-2025</t>
        </is>
      </c>
      <c r="B98" s="1" t="n">
        <v>45905</v>
      </c>
      <c r="C98" s="1" t="n">
        <v>46136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18686-2024</t>
        </is>
      </c>
      <c r="B99" s="1" t="n">
        <v>45426.38695601852</v>
      </c>
      <c r="C99" s="1" t="n">
        <v>46136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5971-2026</t>
        </is>
      </c>
      <c r="B100" s="1" t="n">
        <v>46052.54554398148</v>
      </c>
      <c r="C100" s="1" t="n">
        <v>46136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14988-2024</t>
        </is>
      </c>
      <c r="B101" s="1" t="n">
        <v>45399</v>
      </c>
      <c r="C101" s="1" t="n">
        <v>46136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28242-2024</t>
        </is>
      </c>
      <c r="B102" s="1" t="n">
        <v>45477</v>
      </c>
      <c r="C102" s="1" t="n">
        <v>46136</v>
      </c>
      <c r="D102" t="inlineStr">
        <is>
          <t>VÄRMLANDS LÄN</t>
        </is>
      </c>
      <c r="E102" t="inlineStr">
        <is>
          <t>FORSHAGA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58688-2023</t>
        </is>
      </c>
      <c r="B103" s="1" t="n">
        <v>45251</v>
      </c>
      <c r="C103" s="1" t="n">
        <v>46136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46136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14382-2023</t>
        </is>
      </c>
      <c r="B105" s="1" t="n">
        <v>45012</v>
      </c>
      <c r="C105" s="1" t="n">
        <v>46136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61463-2022</t>
        </is>
      </c>
      <c r="B106" s="1" t="n">
        <v>44916</v>
      </c>
      <c r="C106" s="1" t="n">
        <v>46136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7299-2023</t>
        </is>
      </c>
      <c r="B107" s="1" t="n">
        <v>44970</v>
      </c>
      <c r="C107" s="1" t="n">
        <v>46136</v>
      </c>
      <c r="D107" t="inlineStr">
        <is>
          <t>VÄRMLANDS LÄN</t>
        </is>
      </c>
      <c r="E107" t="inlineStr">
        <is>
          <t>FORSHAGA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31831-2025</t>
        </is>
      </c>
      <c r="B108" s="1" t="n">
        <v>45834.59111111111</v>
      </c>
      <c r="C108" s="1" t="n">
        <v>46136</v>
      </c>
      <c r="D108" t="inlineStr">
        <is>
          <t>VÄRMLANDS LÄN</t>
        </is>
      </c>
      <c r="E108" t="inlineStr">
        <is>
          <t>FORSHAGA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29852-2022</t>
        </is>
      </c>
      <c r="B109" s="1" t="n">
        <v>44756.37423611111</v>
      </c>
      <c r="C109" s="1" t="n">
        <v>46136</v>
      </c>
      <c r="D109" t="inlineStr">
        <is>
          <t>VÄRMLANDS LÄN</t>
        </is>
      </c>
      <c r="E109" t="inlineStr">
        <is>
          <t>FORSHAGA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21295-2023</t>
        </is>
      </c>
      <c r="B110" s="1" t="n">
        <v>45062.65708333333</v>
      </c>
      <c r="C110" s="1" t="n">
        <v>46136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31968-2025</t>
        </is>
      </c>
      <c r="B111" s="1" t="n">
        <v>45835</v>
      </c>
      <c r="C111" s="1" t="n">
        <v>46136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58121-2024</t>
        </is>
      </c>
      <c r="B112" s="1" t="n">
        <v>45632</v>
      </c>
      <c r="C112" s="1" t="n">
        <v>46136</v>
      </c>
      <c r="D112" t="inlineStr">
        <is>
          <t>VÄRMLANDS LÄN</t>
        </is>
      </c>
      <c r="E112" t="inlineStr">
        <is>
          <t>FORSHAGA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9524-2024</t>
        </is>
      </c>
      <c r="B113" s="1" t="n">
        <v>45359</v>
      </c>
      <c r="C113" s="1" t="n">
        <v>46136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55835-2024</t>
        </is>
      </c>
      <c r="B114" s="1" t="n">
        <v>45623</v>
      </c>
      <c r="C114" s="1" t="n">
        <v>46136</v>
      </c>
      <c r="D114" t="inlineStr">
        <is>
          <t>VÄRMLANDS LÄN</t>
        </is>
      </c>
      <c r="E114" t="inlineStr">
        <is>
          <t>FORSHAGA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40080-2025</t>
        </is>
      </c>
      <c r="B115" s="1" t="n">
        <v>45894</v>
      </c>
      <c r="C115" s="1" t="n">
        <v>46136</v>
      </c>
      <c r="D115" t="inlineStr">
        <is>
          <t>VÄRMLANDS LÄN</t>
        </is>
      </c>
      <c r="E115" t="inlineStr">
        <is>
          <t>FORSHAGA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39748-2025</t>
        </is>
      </c>
      <c r="B116" s="1" t="n">
        <v>45891</v>
      </c>
      <c r="C116" s="1" t="n">
        <v>46136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29188-2025</t>
        </is>
      </c>
      <c r="B117" s="1" t="n">
        <v>45821</v>
      </c>
      <c r="C117" s="1" t="n">
        <v>46136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40595-2025</t>
        </is>
      </c>
      <c r="B118" s="1" t="n">
        <v>45896.54966435185</v>
      </c>
      <c r="C118" s="1" t="n">
        <v>46136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30853-2025</t>
        </is>
      </c>
      <c r="B119" s="1" t="n">
        <v>45831</v>
      </c>
      <c r="C119" s="1" t="n">
        <v>46136</v>
      </c>
      <c r="D119" t="inlineStr">
        <is>
          <t>VÄRMLANDS LÄN</t>
        </is>
      </c>
      <c r="E119" t="inlineStr">
        <is>
          <t>FORSHAGA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60045-2022</t>
        </is>
      </c>
      <c r="B120" s="1" t="n">
        <v>44902</v>
      </c>
      <c r="C120" s="1" t="n">
        <v>46136</v>
      </c>
      <c r="D120" t="inlineStr">
        <is>
          <t>VÄRMLANDS LÄN</t>
        </is>
      </c>
      <c r="E120" t="inlineStr">
        <is>
          <t>FORSHAGA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40744-2025</t>
        </is>
      </c>
      <c r="B121" s="1" t="n">
        <v>45897</v>
      </c>
      <c r="C121" s="1" t="n">
        <v>46136</v>
      </c>
      <c r="D121" t="inlineStr">
        <is>
          <t>VÄRMLANDS LÄN</t>
        </is>
      </c>
      <c r="E121" t="inlineStr">
        <is>
          <t>FORSHAGA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15463-2026</t>
        </is>
      </c>
      <c r="B122" s="1" t="n">
        <v>46106.42736111111</v>
      </c>
      <c r="C122" s="1" t="n">
        <v>46136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31980-2023</t>
        </is>
      </c>
      <c r="B123" s="1" t="n">
        <v>45119</v>
      </c>
      <c r="C123" s="1" t="n">
        <v>46136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50092-2024</t>
        </is>
      </c>
      <c r="B124" s="1" t="n">
        <v>45600</v>
      </c>
      <c r="C124" s="1" t="n">
        <v>46136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67617-2021</t>
        </is>
      </c>
      <c r="B125" s="1" t="n">
        <v>44524</v>
      </c>
      <c r="C125" s="1" t="n">
        <v>46136</v>
      </c>
      <c r="D125" t="inlineStr">
        <is>
          <t>VÄRMLANDS LÄN</t>
        </is>
      </c>
      <c r="E125" t="inlineStr">
        <is>
          <t>FORSHAGA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16109-2026</t>
        </is>
      </c>
      <c r="B126" s="1" t="n">
        <v>46108.6049537037</v>
      </c>
      <c r="C126" s="1" t="n">
        <v>46136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39213-2023</t>
        </is>
      </c>
      <c r="B127" s="1" t="n">
        <v>45166</v>
      </c>
      <c r="C127" s="1" t="n">
        <v>46136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23117-2023</t>
        </is>
      </c>
      <c r="B128" s="1" t="n">
        <v>45075.45097222222</v>
      </c>
      <c r="C128" s="1" t="n">
        <v>46136</v>
      </c>
      <c r="D128" t="inlineStr">
        <is>
          <t>VÄRMLANDS LÄN</t>
        </is>
      </c>
      <c r="E128" t="inlineStr">
        <is>
          <t>FORSHAGA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48647-2024</t>
        </is>
      </c>
      <c r="B129" s="1" t="n">
        <v>45593</v>
      </c>
      <c r="C129" s="1" t="n">
        <v>46136</v>
      </c>
      <c r="D129" t="inlineStr">
        <is>
          <t>VÄRMLANDS LÄN</t>
        </is>
      </c>
      <c r="E129" t="inlineStr">
        <is>
          <t>FORSHAGA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35831-2023</t>
        </is>
      </c>
      <c r="B130" s="1" t="n">
        <v>45148</v>
      </c>
      <c r="C130" s="1" t="n">
        <v>46136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46136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58492-2024</t>
        </is>
      </c>
      <c r="B132" s="1" t="n">
        <v>45635</v>
      </c>
      <c r="C132" s="1" t="n">
        <v>46136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17720-2026</t>
        </is>
      </c>
      <c r="B133" s="1" t="n">
        <v>46121.74486111111</v>
      </c>
      <c r="C133" s="1" t="n">
        <v>46136</v>
      </c>
      <c r="D133" t="inlineStr">
        <is>
          <t>VÄRMLANDS LÄN</t>
        </is>
      </c>
      <c r="E133" t="inlineStr">
        <is>
          <t>FORSHAGA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10987-2026</t>
        </is>
      </c>
      <c r="B134" s="1" t="n">
        <v>46079.48133101852</v>
      </c>
      <c r="C134" s="1" t="n">
        <v>46136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17135-2025</t>
        </is>
      </c>
      <c r="B135" s="1" t="n">
        <v>45755.79530092593</v>
      </c>
      <c r="C135" s="1" t="n">
        <v>46136</v>
      </c>
      <c r="D135" t="inlineStr">
        <is>
          <t>VÄRMLANDS LÄN</t>
        </is>
      </c>
      <c r="E135" t="inlineStr">
        <is>
          <t>FORSHAGA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63799-2023</t>
        </is>
      </c>
      <c r="B136" s="1" t="n">
        <v>45278</v>
      </c>
      <c r="C136" s="1" t="n">
        <v>46136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42441-2025</t>
        </is>
      </c>
      <c r="B137" s="1" t="n">
        <v>45905</v>
      </c>
      <c r="C137" s="1" t="n">
        <v>46136</v>
      </c>
      <c r="D137" t="inlineStr">
        <is>
          <t>VÄRMLANDS LÄN</t>
        </is>
      </c>
      <c r="E137" t="inlineStr">
        <is>
          <t>FORSHAGA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17897-2026</t>
        </is>
      </c>
      <c r="B138" s="1" t="n">
        <v>46122.57710648148</v>
      </c>
      <c r="C138" s="1" t="n">
        <v>46136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18285-2026</t>
        </is>
      </c>
      <c r="B139" s="1" t="n">
        <v>46126.4255324074</v>
      </c>
      <c r="C139" s="1" t="n">
        <v>46136</v>
      </c>
      <c r="D139" t="inlineStr">
        <is>
          <t>VÄRMLANDS LÄN</t>
        </is>
      </c>
      <c r="E139" t="inlineStr">
        <is>
          <t>FORSHAGA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13208-2023</t>
        </is>
      </c>
      <c r="B140" s="1" t="n">
        <v>45002</v>
      </c>
      <c r="C140" s="1" t="n">
        <v>46136</v>
      </c>
      <c r="D140" t="inlineStr">
        <is>
          <t>VÄRMLANDS LÄN</t>
        </is>
      </c>
      <c r="E140" t="inlineStr">
        <is>
          <t>FORSHAGA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46136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22623-2025</t>
        </is>
      </c>
      <c r="B142" s="1" t="n">
        <v>45789</v>
      </c>
      <c r="C142" s="1" t="n">
        <v>46136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46136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22742-2025</t>
        </is>
      </c>
      <c r="B144" s="1" t="n">
        <v>45789</v>
      </c>
      <c r="C144" s="1" t="n">
        <v>46136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42572-2025</t>
        </is>
      </c>
      <c r="B145" s="1" t="n">
        <v>45905</v>
      </c>
      <c r="C145" s="1" t="n">
        <v>46136</v>
      </c>
      <c r="D145" t="inlineStr">
        <is>
          <t>VÄRMLANDS LÄN</t>
        </is>
      </c>
      <c r="E145" t="inlineStr">
        <is>
          <t>FORSHAGA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12086-2026</t>
        </is>
      </c>
      <c r="B146" s="1" t="n">
        <v>46086.45157407408</v>
      </c>
      <c r="C146" s="1" t="n">
        <v>46136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18916-2026</t>
        </is>
      </c>
      <c r="B147" s="1" t="n">
        <v>46129.51081018519</v>
      </c>
      <c r="C147" s="1" t="n">
        <v>46136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18811-2025</t>
        </is>
      </c>
      <c r="B148" s="1" t="n">
        <v>45764.3621875</v>
      </c>
      <c r="C148" s="1" t="n">
        <v>46136</v>
      </c>
      <c r="D148" t="inlineStr">
        <is>
          <t>VÄRMLANDS LÄN</t>
        </is>
      </c>
      <c r="E148" t="inlineStr">
        <is>
          <t>FORSHAGA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19079-2026</t>
        </is>
      </c>
      <c r="B149" s="1" t="n">
        <v>46132.38930555555</v>
      </c>
      <c r="C149" s="1" t="n">
        <v>46136</v>
      </c>
      <c r="D149" t="inlineStr">
        <is>
          <t>VÄRMLANDS LÄN</t>
        </is>
      </c>
      <c r="E149" t="inlineStr">
        <is>
          <t>FORSHAGA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46136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33218-2023</t>
        </is>
      </c>
      <c r="B151" s="1" t="n">
        <v>45127</v>
      </c>
      <c r="C151" s="1" t="n">
        <v>46136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61457-2022</t>
        </is>
      </c>
      <c r="B152" s="1" t="n">
        <v>44916.42027777778</v>
      </c>
      <c r="C152" s="1" t="n">
        <v>46136</v>
      </c>
      <c r="D152" t="inlineStr">
        <is>
          <t>VÄRMLANDS LÄN</t>
        </is>
      </c>
      <c r="E152" t="inlineStr">
        <is>
          <t>FORSHAGA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19823-2026</t>
        </is>
      </c>
      <c r="B153" s="1" t="n">
        <v>46135.58706018519</v>
      </c>
      <c r="C153" s="1" t="n">
        <v>46136</v>
      </c>
      <c r="D153" t="inlineStr">
        <is>
          <t>VÄRMLANDS LÄN</t>
        </is>
      </c>
      <c r="E153" t="inlineStr">
        <is>
          <t>FORSHAGA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42573-2025</t>
        </is>
      </c>
      <c r="B154" s="1" t="n">
        <v>45905</v>
      </c>
      <c r="C154" s="1" t="n">
        <v>46136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46015-2025</t>
        </is>
      </c>
      <c r="B155" s="1" t="n">
        <v>45924</v>
      </c>
      <c r="C155" s="1" t="n">
        <v>46136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34786-2024</t>
        </is>
      </c>
      <c r="B156" s="1" t="n">
        <v>45526</v>
      </c>
      <c r="C156" s="1" t="n">
        <v>46136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29231-2023</t>
        </is>
      </c>
      <c r="B157" s="1" t="n">
        <v>45105.61543981481</v>
      </c>
      <c r="C157" s="1" t="n">
        <v>46136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46740-2025</t>
        </is>
      </c>
      <c r="B158" s="1" t="n">
        <v>45926.60765046296</v>
      </c>
      <c r="C158" s="1" t="n">
        <v>46136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46767-2025</t>
        </is>
      </c>
      <c r="B159" s="1" t="n">
        <v>45926.62878472222</v>
      </c>
      <c r="C159" s="1" t="n">
        <v>46136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46868-2025</t>
        </is>
      </c>
      <c r="B160" s="1" t="n">
        <v>45929.33350694444</v>
      </c>
      <c r="C160" s="1" t="n">
        <v>46136</v>
      </c>
      <c r="D160" t="inlineStr">
        <is>
          <t>VÄRMLANDS LÄN</t>
        </is>
      </c>
      <c r="E160" t="inlineStr">
        <is>
          <t>FORSHAGA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47893-2025</t>
        </is>
      </c>
      <c r="B161" s="1" t="n">
        <v>45932</v>
      </c>
      <c r="C161" s="1" t="n">
        <v>46136</v>
      </c>
      <c r="D161" t="inlineStr">
        <is>
          <t>VÄRMLANDS LÄN</t>
        </is>
      </c>
      <c r="E161" t="inlineStr">
        <is>
          <t>FORSHAGA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47734-2025</t>
        </is>
      </c>
      <c r="B162" s="1" t="n">
        <v>45931.63662037037</v>
      </c>
      <c r="C162" s="1" t="n">
        <v>46136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47917-2025</t>
        </is>
      </c>
      <c r="B163" s="1" t="n">
        <v>45932.52096064815</v>
      </c>
      <c r="C163" s="1" t="n">
        <v>46136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47940-2025</t>
        </is>
      </c>
      <c r="B164" s="1" t="n">
        <v>45932</v>
      </c>
      <c r="C164" s="1" t="n">
        <v>46136</v>
      </c>
      <c r="D164" t="inlineStr">
        <is>
          <t>VÄRMLANDS LÄN</t>
        </is>
      </c>
      <c r="E164" t="inlineStr">
        <is>
          <t>FORSHAGA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19323-2023</t>
        </is>
      </c>
      <c r="B165" s="1" t="n">
        <v>45049.555625</v>
      </c>
      <c r="C165" s="1" t="n">
        <v>46136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48869-2025</t>
        </is>
      </c>
      <c r="B166" s="1" t="n">
        <v>45937.44954861111</v>
      </c>
      <c r="C166" s="1" t="n">
        <v>46136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49123-2025</t>
        </is>
      </c>
      <c r="B167" s="1" t="n">
        <v>45937.85078703704</v>
      </c>
      <c r="C167" s="1" t="n">
        <v>46136</v>
      </c>
      <c r="D167" t="inlineStr">
        <is>
          <t>VÄRMLANDS LÄN</t>
        </is>
      </c>
      <c r="E167" t="inlineStr">
        <is>
          <t>FORSHAGA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32680-2023</t>
        </is>
      </c>
      <c r="B168" s="1" t="n">
        <v>45121.67741898148</v>
      </c>
      <c r="C168" s="1" t="n">
        <v>46136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73267-2021</t>
        </is>
      </c>
      <c r="B169" s="1" t="n">
        <v>44550.84347222222</v>
      </c>
      <c r="C169" s="1" t="n">
        <v>46136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48630-2024</t>
        </is>
      </c>
      <c r="B170" s="1" t="n">
        <v>45593.46697916667</v>
      </c>
      <c r="C170" s="1" t="n">
        <v>46136</v>
      </c>
      <c r="D170" t="inlineStr">
        <is>
          <t>VÄRMLANDS LÄN</t>
        </is>
      </c>
      <c r="E170" t="inlineStr">
        <is>
          <t>FORSHAGA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51383-2025</t>
        </is>
      </c>
      <c r="B171" s="1" t="n">
        <v>45950</v>
      </c>
      <c r="C171" s="1" t="n">
        <v>46136</v>
      </c>
      <c r="D171" t="inlineStr">
        <is>
          <t>VÄRMLANDS LÄN</t>
        </is>
      </c>
      <c r="E171" t="inlineStr">
        <is>
          <t>FORSHAGA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23900-2024</t>
        </is>
      </c>
      <c r="B172" s="1" t="n">
        <v>45455.70663194444</v>
      </c>
      <c r="C172" s="1" t="n">
        <v>46136</v>
      </c>
      <c r="D172" t="inlineStr">
        <is>
          <t>VÄRMLANDS LÄN</t>
        </is>
      </c>
      <c r="E172" t="inlineStr">
        <is>
          <t>FORSHAGA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23451-2024</t>
        </is>
      </c>
      <c r="B173" s="1" t="n">
        <v>45453.64371527778</v>
      </c>
      <c r="C173" s="1" t="n">
        <v>46136</v>
      </c>
      <c r="D173" t="inlineStr">
        <is>
          <t>VÄRMLANDS LÄN</t>
        </is>
      </c>
      <c r="E173" t="inlineStr">
        <is>
          <t>FORSHAGA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51123-2025</t>
        </is>
      </c>
      <c r="B174" s="1" t="n">
        <v>45947.54222222222</v>
      </c>
      <c r="C174" s="1" t="n">
        <v>46136</v>
      </c>
      <c r="D174" t="inlineStr">
        <is>
          <t>VÄRMLANDS LÄN</t>
        </is>
      </c>
      <c r="E174" t="inlineStr">
        <is>
          <t>FORSHAGA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51848-2025</t>
        </is>
      </c>
      <c r="B175" s="1" t="n">
        <v>45952.35089120371</v>
      </c>
      <c r="C175" s="1" t="n">
        <v>46136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28321-2023</t>
        </is>
      </c>
      <c r="B176" s="1" t="n">
        <v>45099</v>
      </c>
      <c r="C176" s="1" t="n">
        <v>46136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25008-2023</t>
        </is>
      </c>
      <c r="B177" s="1" t="n">
        <v>45085</v>
      </c>
      <c r="C177" s="1" t="n">
        <v>46136</v>
      </c>
      <c r="D177" t="inlineStr">
        <is>
          <t>VÄRMLANDS LÄN</t>
        </is>
      </c>
      <c r="E177" t="inlineStr">
        <is>
          <t>FORSHAGA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33219-2023</t>
        </is>
      </c>
      <c r="B178" s="1" t="n">
        <v>45127</v>
      </c>
      <c r="C178" s="1" t="n">
        <v>46136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48590-2024</t>
        </is>
      </c>
      <c r="B179" s="1" t="n">
        <v>45593</v>
      </c>
      <c r="C179" s="1" t="n">
        <v>46136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46136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51124-2021</t>
        </is>
      </c>
      <c r="B181" s="1" t="n">
        <v>44461</v>
      </c>
      <c r="C181" s="1" t="n">
        <v>46136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32796-2023</t>
        </is>
      </c>
      <c r="B182" s="1" t="n">
        <v>45124</v>
      </c>
      <c r="C182" s="1" t="n">
        <v>46136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53291-2025</t>
        </is>
      </c>
      <c r="B183" s="1" t="n">
        <v>45958.81872685185</v>
      </c>
      <c r="C183" s="1" t="n">
        <v>46136</v>
      </c>
      <c r="D183" t="inlineStr">
        <is>
          <t>VÄRMLANDS LÄN</t>
        </is>
      </c>
      <c r="E183" t="inlineStr">
        <is>
          <t>FORSHAGA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53678-2025</t>
        </is>
      </c>
      <c r="B184" s="1" t="n">
        <v>45960.5640162037</v>
      </c>
      <c r="C184" s="1" t="n">
        <v>46136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48641-2024</t>
        </is>
      </c>
      <c r="B185" s="1" t="n">
        <v>45593</v>
      </c>
      <c r="C185" s="1" t="n">
        <v>46136</v>
      </c>
      <c r="D185" t="inlineStr">
        <is>
          <t>VÄRMLANDS LÄN</t>
        </is>
      </c>
      <c r="E185" t="inlineStr">
        <is>
          <t>FORSHAGA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2818-2022</t>
        </is>
      </c>
      <c r="B186" s="1" t="n">
        <v>44581.41297453704</v>
      </c>
      <c r="C186" s="1" t="n">
        <v>46136</v>
      </c>
      <c r="D186" t="inlineStr">
        <is>
          <t>VÄRMLANDS LÄN</t>
        </is>
      </c>
      <c r="E186" t="inlineStr">
        <is>
          <t>FORSHAGA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7273-2023</t>
        </is>
      </c>
      <c r="B187" s="1" t="n">
        <v>44970</v>
      </c>
      <c r="C187" s="1" t="n">
        <v>46136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20862-2024</t>
        </is>
      </c>
      <c r="B188" s="1" t="n">
        <v>45439</v>
      </c>
      <c r="C188" s="1" t="n">
        <v>46136</v>
      </c>
      <c r="D188" t="inlineStr">
        <is>
          <t>VÄRMLANDS LÄN</t>
        </is>
      </c>
      <c r="E188" t="inlineStr">
        <is>
          <t>FORSHAGA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6909-2025</t>
        </is>
      </c>
      <c r="B189" s="1" t="n">
        <v>45701</v>
      </c>
      <c r="C189" s="1" t="n">
        <v>46136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33224-2023</t>
        </is>
      </c>
      <c r="B190" s="1" t="n">
        <v>45127</v>
      </c>
      <c r="C190" s="1" t="n">
        <v>46136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55512-2025</t>
        </is>
      </c>
      <c r="B191" s="1" t="n">
        <v>45971.60068287037</v>
      </c>
      <c r="C191" s="1" t="n">
        <v>46136</v>
      </c>
      <c r="D191" t="inlineStr">
        <is>
          <t>VÄRMLANDS LÄN</t>
        </is>
      </c>
      <c r="E191" t="inlineStr">
        <is>
          <t>FORSHAGA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46136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46136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2843-2022</t>
        </is>
      </c>
      <c r="B194" s="1" t="n">
        <v>44581</v>
      </c>
      <c r="C194" s="1" t="n">
        <v>46136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55421-2025</t>
        </is>
      </c>
      <c r="B195" s="1" t="n">
        <v>45971</v>
      </c>
      <c r="C195" s="1" t="n">
        <v>46136</v>
      </c>
      <c r="D195" t="inlineStr">
        <is>
          <t>VÄRMLANDS LÄN</t>
        </is>
      </c>
      <c r="E195" t="inlineStr">
        <is>
          <t>FORSHAGA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55425-2025</t>
        </is>
      </c>
      <c r="B196" s="1" t="n">
        <v>45971</v>
      </c>
      <c r="C196" s="1" t="n">
        <v>46136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55437-2025</t>
        </is>
      </c>
      <c r="B197" s="1" t="n">
        <v>45971</v>
      </c>
      <c r="C197" s="1" t="n">
        <v>46136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46136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46136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55440-2025</t>
        </is>
      </c>
      <c r="B200" s="1" t="n">
        <v>45971</v>
      </c>
      <c r="C200" s="1" t="n">
        <v>46136</v>
      </c>
      <c r="D200" t="inlineStr">
        <is>
          <t>VÄRMLANDS LÄN</t>
        </is>
      </c>
      <c r="E200" t="inlineStr">
        <is>
          <t>FORSHAGA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55417-2025</t>
        </is>
      </c>
      <c r="B201" s="1" t="n">
        <v>45971</v>
      </c>
      <c r="C201" s="1" t="n">
        <v>46136</v>
      </c>
      <c r="D201" t="inlineStr">
        <is>
          <t>VÄRMLANDS LÄN</t>
        </is>
      </c>
      <c r="E201" t="inlineStr">
        <is>
          <t>FORSHAGA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55433-2025</t>
        </is>
      </c>
      <c r="B202" s="1" t="n">
        <v>45971</v>
      </c>
      <c r="C202" s="1" t="n">
        <v>46136</v>
      </c>
      <c r="D202" t="inlineStr">
        <is>
          <t>VÄRMLANDS LÄN</t>
        </is>
      </c>
      <c r="E202" t="inlineStr">
        <is>
          <t>FORSHAGA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40898-2024</t>
        </is>
      </c>
      <c r="B203" s="1" t="n">
        <v>45558</v>
      </c>
      <c r="C203" s="1" t="n">
        <v>46136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19069-2025</t>
        </is>
      </c>
      <c r="B204" s="1" t="n">
        <v>45765</v>
      </c>
      <c r="C204" s="1" t="n">
        <v>46136</v>
      </c>
      <c r="D204" t="inlineStr">
        <is>
          <t>VÄRMLANDS LÄN</t>
        </is>
      </c>
      <c r="E204" t="inlineStr">
        <is>
          <t>FORSHAGA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11350-2024</t>
        </is>
      </c>
      <c r="B205" s="1" t="n">
        <v>45372.34391203704</v>
      </c>
      <c r="C205" s="1" t="n">
        <v>46136</v>
      </c>
      <c r="D205" t="inlineStr">
        <is>
          <t>VÄRMLANDS LÄN</t>
        </is>
      </c>
      <c r="E205" t="inlineStr">
        <is>
          <t>FORSHAGA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59090-2025</t>
        </is>
      </c>
      <c r="B206" s="1" t="n">
        <v>45988.44700231482</v>
      </c>
      <c r="C206" s="1" t="n">
        <v>46136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58905-2025</t>
        </is>
      </c>
      <c r="B207" s="1" t="n">
        <v>45987.51020833333</v>
      </c>
      <c r="C207" s="1" t="n">
        <v>46136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58915-2025</t>
        </is>
      </c>
      <c r="B208" s="1" t="n">
        <v>45987.52658564815</v>
      </c>
      <c r="C208" s="1" t="n">
        <v>46136</v>
      </c>
      <c r="D208" t="inlineStr">
        <is>
          <t>VÄRMLANDS LÄN</t>
        </is>
      </c>
      <c r="E208" t="inlineStr">
        <is>
          <t>FORSHAGA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46136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46136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59298-2025</t>
        </is>
      </c>
      <c r="B211" s="1" t="n">
        <v>45988.80296296296</v>
      </c>
      <c r="C211" s="1" t="n">
        <v>46136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59933-2025</t>
        </is>
      </c>
      <c r="B212" s="1" t="n">
        <v>45993.40327546297</v>
      </c>
      <c r="C212" s="1" t="n">
        <v>46136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53573-2024</t>
        </is>
      </c>
      <c r="B213" s="1" t="n">
        <v>45614</v>
      </c>
      <c r="C213" s="1" t="n">
        <v>46136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59919-2025</t>
        </is>
      </c>
      <c r="B214" s="1" t="n">
        <v>45993.37708333333</v>
      </c>
      <c r="C214" s="1" t="n">
        <v>46136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59955-2025</t>
        </is>
      </c>
      <c r="B215" s="1" t="n">
        <v>45993.46239583333</v>
      </c>
      <c r="C215" s="1" t="n">
        <v>46136</v>
      </c>
      <c r="D215" t="inlineStr">
        <is>
          <t>VÄRMLANDS LÄN</t>
        </is>
      </c>
      <c r="E215" t="inlineStr">
        <is>
          <t>FORSHAGA</t>
        </is>
      </c>
      <c r="F215" t="inlineStr">
        <is>
          <t>Kyrkan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8399-2025</t>
        </is>
      </c>
      <c r="B216" s="1" t="n">
        <v>45709</v>
      </c>
      <c r="C216" s="1" t="n">
        <v>46136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55249-2023</t>
        </is>
      </c>
      <c r="B217" s="1" t="n">
        <v>45237.64636574074</v>
      </c>
      <c r="C217" s="1" t="n">
        <v>46136</v>
      </c>
      <c r="D217" t="inlineStr">
        <is>
          <t>VÄRMLANDS LÄN</t>
        </is>
      </c>
      <c r="E217" t="inlineStr">
        <is>
          <t>FORSHAGA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60850-2025</t>
        </is>
      </c>
      <c r="B218" s="1" t="n">
        <v>45999.50127314815</v>
      </c>
      <c r="C218" s="1" t="n">
        <v>46136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60893-2025</t>
        </is>
      </c>
      <c r="B219" s="1" t="n">
        <v>45999.57299768519</v>
      </c>
      <c r="C219" s="1" t="n">
        <v>46136</v>
      </c>
      <c r="D219" t="inlineStr">
        <is>
          <t>VÄRMLANDS LÄN</t>
        </is>
      </c>
      <c r="E219" t="inlineStr">
        <is>
          <t>FORSHAGA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61896-2025</t>
        </is>
      </c>
      <c r="B220" s="1" t="n">
        <v>46003.46021990741</v>
      </c>
      <c r="C220" s="1" t="n">
        <v>46136</v>
      </c>
      <c r="D220" t="inlineStr">
        <is>
          <t>VÄRMLANDS LÄN</t>
        </is>
      </c>
      <c r="E220" t="inlineStr">
        <is>
          <t>FORSHAGA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46136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18439-2025</t>
        </is>
      </c>
      <c r="B222" s="1" t="n">
        <v>45762</v>
      </c>
      <c r="C222" s="1" t="n">
        <v>46136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46136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64121-2023</t>
        </is>
      </c>
      <c r="B224" s="1" t="n">
        <v>45279</v>
      </c>
      <c r="C224" s="1" t="n">
        <v>46136</v>
      </c>
      <c r="D224" t="inlineStr">
        <is>
          <t>VÄRMLANDS LÄN</t>
        </is>
      </c>
      <c r="E224" t="inlineStr">
        <is>
          <t>FORSHAGA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21745-2024</t>
        </is>
      </c>
      <c r="B225" s="1" t="n">
        <v>45442</v>
      </c>
      <c r="C225" s="1" t="n">
        <v>46136</v>
      </c>
      <c r="D225" t="inlineStr">
        <is>
          <t>VÄRMLANDS LÄN</t>
        </is>
      </c>
      <c r="E225" t="inlineStr">
        <is>
          <t>FORSHAGA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34427-2024</t>
        </is>
      </c>
      <c r="B226" s="1" t="n">
        <v>45525</v>
      </c>
      <c r="C226" s="1" t="n">
        <v>46136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46136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22362-2024</t>
        </is>
      </c>
      <c r="B228" s="1" t="n">
        <v>45446.63490740741</v>
      </c>
      <c r="C228" s="1" t="n">
        <v>46136</v>
      </c>
      <c r="D228" t="inlineStr">
        <is>
          <t>VÄRMLANDS LÄN</t>
        </is>
      </c>
      <c r="E228" t="inlineStr">
        <is>
          <t>FORSHAGA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46136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46136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46136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46136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46136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46136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46136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46136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46136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46136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46136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46136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46136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46136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46136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46136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46136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46136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46136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46136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46136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46136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46136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46136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46136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46136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46136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46136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46136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46136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46136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46136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46136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46136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46136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46136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46136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46136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46136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46136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46136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46136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46136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46136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15149-2025</t>
        </is>
      </c>
      <c r="B273" s="1" t="n">
        <v>45744</v>
      </c>
      <c r="C273" s="1" t="n">
        <v>46136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9693-2025</t>
        </is>
      </c>
      <c r="B274" s="1" t="n">
        <v>45716</v>
      </c>
      <c r="C274" s="1" t="n">
        <v>46136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30859-2024</t>
        </is>
      </c>
      <c r="B275" s="1" t="n">
        <v>45497</v>
      </c>
      <c r="C275" s="1" t="n">
        <v>46136</v>
      </c>
      <c r="D275" t="inlineStr">
        <is>
          <t>VÄRMLANDS LÄN</t>
        </is>
      </c>
      <c r="E275" t="inlineStr">
        <is>
          <t>FORSHAGA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58114-2024</t>
        </is>
      </c>
      <c r="B276" s="1" t="n">
        <v>45632</v>
      </c>
      <c r="C276" s="1" t="n">
        <v>46136</v>
      </c>
      <c r="D276" t="inlineStr">
        <is>
          <t>VÄRMLANDS LÄN</t>
        </is>
      </c>
      <c r="E276" t="inlineStr">
        <is>
          <t>FORSHAGA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6947-2025</t>
        </is>
      </c>
      <c r="B277" s="1" t="n">
        <v>45701</v>
      </c>
      <c r="C277" s="1" t="n">
        <v>46136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50367-2024</t>
        </is>
      </c>
      <c r="B278" s="1" t="n">
        <v>45600.88394675926</v>
      </c>
      <c r="C278" s="1" t="n">
        <v>46136</v>
      </c>
      <c r="D278" t="inlineStr">
        <is>
          <t>VÄRMLANDS LÄN</t>
        </is>
      </c>
      <c r="E278" t="inlineStr">
        <is>
          <t>FORSHAGA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21836-2025</t>
        </is>
      </c>
      <c r="B279" s="1" t="n">
        <v>45784.31782407407</v>
      </c>
      <c r="C279" s="1" t="n">
        <v>46136</v>
      </c>
      <c r="D279" t="inlineStr">
        <is>
          <t>VÄRMLANDS LÄN</t>
        </is>
      </c>
      <c r="E279" t="inlineStr">
        <is>
          <t>FORSHAGA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35336-2024</t>
        </is>
      </c>
      <c r="B280" s="1" t="n">
        <v>45530</v>
      </c>
      <c r="C280" s="1" t="n">
        <v>46136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22609-2025</t>
        </is>
      </c>
      <c r="B281" s="1" t="n">
        <v>45789</v>
      </c>
      <c r="C281" s="1" t="n">
        <v>46136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22586-2025</t>
        </is>
      </c>
      <c r="B282" s="1" t="n">
        <v>45789</v>
      </c>
      <c r="C282" s="1" t="n">
        <v>46136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22614-2025</t>
        </is>
      </c>
      <c r="B283" s="1" t="n">
        <v>45789</v>
      </c>
      <c r="C283" s="1" t="n">
        <v>46136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22619-2025</t>
        </is>
      </c>
      <c r="B284" s="1" t="n">
        <v>45789</v>
      </c>
      <c r="C284" s="1" t="n">
        <v>46136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8952-2024</t>
        </is>
      </c>
      <c r="B285" s="1" t="n">
        <v>45355</v>
      </c>
      <c r="C285" s="1" t="n">
        <v>46136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23733-2025</t>
        </is>
      </c>
      <c r="B286" s="1" t="n">
        <v>45793</v>
      </c>
      <c r="C286" s="1" t="n">
        <v>46136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2026-04-24T10:49:33Z</dcterms:created>
  <dcterms:modified xmlns:dcterms="http://purl.org/dc/terms/" xmlns:xsi="http://www.w3.org/2001/XMLSchema-instance" xsi:type="dcterms:W3CDTF">2026-04-24T10:49:34Z</dcterms:modified>
</cp:coreProperties>
</file>