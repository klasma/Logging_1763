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45827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45827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45827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45827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45827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45827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45827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3713-2024</t>
        </is>
      </c>
      <c r="B9" s="1" t="n">
        <v>45321</v>
      </c>
      <c r="C9" s="1" t="n">
        <v>45827</v>
      </c>
      <c r="D9" t="inlineStr">
        <is>
          <t>VÄRMLANDS LÄN</t>
        </is>
      </c>
      <c r="E9" t="inlineStr">
        <is>
          <t>FORSHAGA</t>
        </is>
      </c>
      <c r="G9" t="n">
        <v>6.1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Åkergroda
Mindre vattensalamander
Vanlig padda</t>
        </is>
      </c>
      <c r="S9">
        <f>HYPERLINK("https://klasma.github.io/Logging_1763/artfynd/A 3713-2024 artfynd.xlsx", "A 3713-2024")</f>
        <v/>
      </c>
      <c r="T9">
        <f>HYPERLINK("https://klasma.github.io/Logging_1763/kartor/A 3713-2024 karta.png", "A 3713-2024")</f>
        <v/>
      </c>
      <c r="V9">
        <f>HYPERLINK("https://klasma.github.io/Logging_1763/klagomål/A 3713-2024 FSC-klagomål.docx", "A 3713-2024")</f>
        <v/>
      </c>
      <c r="W9">
        <f>HYPERLINK("https://klasma.github.io/Logging_1763/klagomålsmail/A 3713-2024 FSC-klagomål mail.docx", "A 3713-2024")</f>
        <v/>
      </c>
      <c r="X9">
        <f>HYPERLINK("https://klasma.github.io/Logging_1763/tillsyn/A 3713-2024 tillsynsbegäran.docx", "A 3713-2024")</f>
        <v/>
      </c>
      <c r="Y9">
        <f>HYPERLINK("https://klasma.github.io/Logging_1763/tillsynsmail/A 3713-2024 tillsynsbegäran mail.docx", "A 3713-2024")</f>
        <v/>
      </c>
    </row>
    <row r="10" ht="15" customHeight="1">
      <c r="A10" t="inlineStr">
        <is>
          <t>A 51072-2021</t>
        </is>
      </c>
      <c r="B10" s="1" t="n">
        <v>44461</v>
      </c>
      <c r="C10" s="1" t="n">
        <v>45827</v>
      </c>
      <c r="D10" t="inlineStr">
        <is>
          <t>VÄRMLANDS LÄN</t>
        </is>
      </c>
      <c r="E10" t="inlineStr">
        <is>
          <t>FORSHAGA</t>
        </is>
      </c>
      <c r="G10" t="n">
        <v>19.6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 gräsfjäril
Violettkantad guldvinge</t>
        </is>
      </c>
      <c r="S10">
        <f>HYPERLINK("https://klasma.github.io/Logging_1763/artfynd/A 51072-2021 artfynd.xlsx", "A 51072-2021")</f>
        <v/>
      </c>
      <c r="T10">
        <f>HYPERLINK("https://klasma.github.io/Logging_1763/kartor/A 51072-2021 karta.png", "A 51072-2021")</f>
        <v/>
      </c>
      <c r="V10">
        <f>HYPERLINK("https://klasma.github.io/Logging_1763/klagomål/A 51072-2021 FSC-klagomål.docx", "A 51072-2021")</f>
        <v/>
      </c>
      <c r="W10">
        <f>HYPERLINK("https://klasma.github.io/Logging_1763/klagomålsmail/A 51072-2021 FSC-klagomål mail.docx", "A 51072-2021")</f>
        <v/>
      </c>
      <c r="X10">
        <f>HYPERLINK("https://klasma.github.io/Logging_1763/tillsyn/A 51072-2021 tillsynsbegäran.docx", "A 51072-2021")</f>
        <v/>
      </c>
      <c r="Y10">
        <f>HYPERLINK("https://klasma.github.io/Logging_1763/tillsynsmail/A 51072-2021 tillsynsbegäran mail.docx", "A 51072-2021")</f>
        <v/>
      </c>
    </row>
    <row r="11" ht="15" customHeight="1">
      <c r="A11" t="inlineStr">
        <is>
          <t>A 66072-2021</t>
        </is>
      </c>
      <c r="B11" s="1" t="n">
        <v>44517</v>
      </c>
      <c r="C11" s="1" t="n">
        <v>45827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66072-2021 artfynd.xlsx", "A 66072-2021")</f>
        <v/>
      </c>
      <c r="T11">
        <f>HYPERLINK("https://klasma.github.io/Logging_1763/kartor/A 66072-2021 karta.png", "A 66072-2021")</f>
        <v/>
      </c>
      <c r="V11">
        <f>HYPERLINK("https://klasma.github.io/Logging_1763/klagomål/A 66072-2021 FSC-klagomål.docx", "A 66072-2021")</f>
        <v/>
      </c>
      <c r="W11">
        <f>HYPERLINK("https://klasma.github.io/Logging_1763/klagomålsmail/A 66072-2021 FSC-klagomål mail.docx", "A 66072-2021")</f>
        <v/>
      </c>
      <c r="X11">
        <f>HYPERLINK("https://klasma.github.io/Logging_1763/tillsyn/A 66072-2021 tillsynsbegäran.docx", "A 66072-2021")</f>
        <v/>
      </c>
      <c r="Y11">
        <f>HYPERLINK("https://klasma.github.io/Logging_1763/tillsynsmail/A 66072-2021 tillsynsbegäran mail.docx", "A 66072-2021")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45827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45827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45827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45827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45827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45827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45827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45827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45827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45827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45827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45827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45827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45827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45827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45827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45827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45827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45827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45827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45827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45827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45827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45827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45827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45827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45827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45827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45827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45827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45827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45827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45827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45827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45827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45827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45827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45827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45827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45827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45827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45827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45827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45827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45827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45827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45827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45827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45827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45827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45827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45827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45827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45827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45827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45827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45827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45827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45827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45827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45827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45827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45827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45827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45827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45827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45827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45827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45827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45827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45827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45827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45827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45827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45827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45827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45827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45827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45827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45827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45827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45827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45827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45827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45827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45827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45827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45827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45827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45827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45827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45827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45827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45827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45827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45827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45827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45827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45827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45827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45827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45827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45827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45827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45827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45827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45827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45827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45827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45827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45827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45827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45827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45827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45827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45827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45827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45827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45827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45827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45827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45827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45827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45827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45827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45827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45827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45827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45827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45827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45827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45827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45827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45827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45827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45827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45827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45827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45827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45827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45827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45827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45827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45827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45827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45827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45827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45827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45827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45827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45827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45827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45827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45827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45827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45827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45827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45827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45827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45827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45827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45827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45827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45827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45827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45827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45827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45827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45827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45827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45827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45827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45827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45827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45827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45827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45827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45827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45827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45827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45827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45827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45827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45827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45827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45827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45827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45827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45827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45827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45827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45827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45827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45827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45827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45827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45827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45827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45827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45827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45827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45827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45827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45827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45827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45827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45827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45827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45827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45827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45827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45827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45827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45827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45827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45827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45827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45827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45827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45827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45827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45827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45827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45827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45827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45827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45827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45827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45827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45827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45827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45827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45827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45827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45827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45827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45827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45827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45827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45827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45827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45827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45827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45827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45827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45827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45827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45827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45827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45827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45827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45827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45827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45827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45827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45827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45827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45827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45827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45827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45827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45827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45827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45827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45827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45827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45827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45827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45827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45827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45827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45827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45827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45827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45827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45827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45827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45827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45827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45827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45827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45827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45827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45827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45827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45827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45827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45827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45827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45827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45827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45827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45827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45827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45827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45827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45827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45827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45827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45827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45827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45827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45827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45827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45827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45827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45827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45827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45827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45827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45827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45827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45827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45827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45827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45827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45827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45827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45827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45827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45827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45827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45827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45827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45827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45827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45827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45827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45827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45827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45827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45827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45827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45827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45827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45827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45827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45827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45827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45827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45827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45827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45827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45827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45827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45827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45827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45827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45827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45827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45827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45827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45827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45827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45827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45827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45827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45827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45827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45827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45827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45827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45827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45827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45827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45827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45827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45827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45827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45827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45827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45827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45827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45827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45827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45827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45827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45827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45827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45827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45827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45827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45827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45827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45827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45827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45827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45827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45827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45827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45827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45827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45827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45827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45827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45827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45827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45827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45827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45827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45827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45827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45827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45827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45827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45827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45827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45827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45827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45827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45827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45827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45827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45827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45827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45827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45827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45827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45827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45827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45827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45827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45827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45827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45827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45827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45827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45827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45827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45827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45827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45827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45827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45827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45827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45827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45827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45827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45827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45827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45827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45827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45827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45827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45827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45827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45827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45827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45827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45827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45827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45827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45827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45827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45827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45827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45827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45827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45827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45827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45827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45827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45827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45827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45827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45827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45827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45827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45827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45827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45827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45827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45827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45827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45827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45827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45827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45827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45827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45827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45827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45827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45827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45827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45827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45827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45827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45827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45827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45827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45827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45827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45827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45827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45827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45827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45827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45827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45827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45827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45827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45827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45827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45827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45827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45827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45827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45827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45827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45827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45827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45827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45827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45827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45827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45827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45827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45827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45827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45827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45827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45827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45827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45827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45827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45827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45827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45827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45827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45827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45827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45827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45827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45827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45827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45827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45827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45827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45827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45827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45827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45827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45827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45827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45827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45827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45827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45827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45827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45827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45827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45827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45827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45827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45827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45827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27351-2025</t>
        </is>
      </c>
      <c r="B568" s="1" t="n">
        <v>45812</v>
      </c>
      <c r="C568" s="1" t="n">
        <v>45827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45827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27346-2025</t>
        </is>
      </c>
      <c r="B570" s="1" t="n">
        <v>45812</v>
      </c>
      <c r="C570" s="1" t="n">
        <v>45827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29188-2025</t>
        </is>
      </c>
      <c r="B571" s="1" t="n">
        <v>45821</v>
      </c>
      <c r="C571" s="1" t="n">
        <v>45827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2025-06-19T19:09:50Z</dcterms:created>
  <dcterms:modified xmlns:dcterms="http://purl.org/dc/terms/" xmlns:xsi="http://www.w3.org/2001/XMLSchema-instance" xsi:type="dcterms:W3CDTF">2025-06-19T19:09:51Z</dcterms:modified>
</cp:coreProperties>
</file>