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46220</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46220</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46220</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s="2" t="inlineStr">
        <is>
          <t>Gullklöver
Skogsklocka
Svart trolldruva
Blåsippa</t>
        </is>
      </c>
      <c r="V4">
        <f>HYPERLINK("https://klasma.github.io/Logging_1763/artfynd/A 66072-2021 artfynd.xlsx", "A 66072-2021")</f>
        <v/>
      </c>
      <c r="W4">
        <f>HYPERLINK("https://klasma.github.io/Logging_1763/kartor/A 66072-2021 karta.png", "A 66072-2021")</f>
        <v/>
      </c>
      <c r="Y4">
        <f>HYPERLINK("https://klasma.github.io/Logging_1763/klagomål/A 66072-2021 FSC-klagomål.docx", "A 66072-2021")</f>
        <v/>
      </c>
      <c r="Z4">
        <f>HYPERLINK("https://klasma.github.io/Logging_1763/klagomålsmail/A 66072-2021 FSC-klagomål mail.docx", "A 66072-2021")</f>
        <v/>
      </c>
      <c r="AA4">
        <f>HYPERLINK("https://klasma.github.io/Logging_1763/tillsyn/A 66072-2021 tillsynsbegäran.docx", "A 66072-2021")</f>
        <v/>
      </c>
      <c r="AB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46220</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s="2" t="inlineStr">
        <is>
          <t>Blackticka
Fjällig taggsvamp s.str.
Brandticka
Mörk husmossa</t>
        </is>
      </c>
      <c r="V5">
        <f>HYPERLINK("https://klasma.github.io/Logging_1763/artfynd/A 18094-2026 artfynd.xlsx", "A 18094-2026")</f>
        <v/>
      </c>
      <c r="W5">
        <f>HYPERLINK("https://klasma.github.io/Logging_1763/kartor/A 18094-2026 karta.png", "A 18094-2026")</f>
        <v/>
      </c>
      <c r="Y5">
        <f>HYPERLINK("https://klasma.github.io/Logging_1763/klagomål/A 18094-2026 FSC-klagomål.docx", "A 18094-2026")</f>
        <v/>
      </c>
      <c r="Z5">
        <f>HYPERLINK("https://klasma.github.io/Logging_1763/klagomålsmail/A 18094-2026 FSC-klagomål mail.docx", "A 18094-2026")</f>
        <v/>
      </c>
      <c r="AA5">
        <f>HYPERLINK("https://klasma.github.io/Logging_1763/tillsyn/A 18094-2026 tillsynsbegäran.docx", "A 18094-2026")</f>
        <v/>
      </c>
      <c r="AB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46220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s="2" t="inlineStr">
        <is>
          <t>Dofttaggsvamp
Fjällig taggsvamp s.str.
Ullticka
Blåsippa</t>
        </is>
      </c>
      <c r="V6">
        <f>HYPERLINK("https://klasma.github.io/Logging_1763/artfynd/A 34758-2024 artfynd.xlsx", "A 34758-2024")</f>
        <v/>
      </c>
      <c r="W6">
        <f>HYPERLINK("https://klasma.github.io/Logging_1763/kartor/A 34758-2024 karta.png", "A 34758-2024")</f>
        <v/>
      </c>
      <c r="Y6">
        <f>HYPERLINK("https://klasma.github.io/Logging_1763/klagomål/A 34758-2024 FSC-klagomål.docx", "A 34758-2024")</f>
        <v/>
      </c>
      <c r="Z6">
        <f>HYPERLINK("https://klasma.github.io/Logging_1763/klagomålsmail/A 34758-2024 FSC-klagomål mail.docx", "A 34758-2024")</f>
        <v/>
      </c>
      <c r="AA6">
        <f>HYPERLINK("https://klasma.github.io/Logging_1763/tillsyn/A 34758-2024 tillsynsbegäran.docx", "A 34758-2024")</f>
        <v/>
      </c>
      <c r="AB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46220</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46220</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s="2" t="inlineStr">
        <is>
          <t>Blåtryffel
Svart trolldruva
Blåsippa</t>
        </is>
      </c>
      <c r="V8">
        <f>HYPERLINK("https://klasma.github.io/Logging_1763/artfynd/A 63799-2023 artfynd.xlsx", "A 63799-2023")</f>
        <v/>
      </c>
      <c r="W8">
        <f>HYPERLINK("https://klasma.github.io/Logging_1763/kartor/A 63799-2023 karta.png", "A 63799-2023")</f>
        <v/>
      </c>
      <c r="Y8">
        <f>HYPERLINK("https://klasma.github.io/Logging_1763/klagomål/A 63799-2023 FSC-klagomål.docx", "A 63799-2023")</f>
        <v/>
      </c>
      <c r="Z8">
        <f>HYPERLINK("https://klasma.github.io/Logging_1763/klagomålsmail/A 63799-2023 FSC-klagomål mail.docx", "A 63799-2023")</f>
        <v/>
      </c>
      <c r="AA8">
        <f>HYPERLINK("https://klasma.github.io/Logging_1763/tillsyn/A 63799-2023 tillsynsbegäran.docx", "A 63799-2023")</f>
        <v/>
      </c>
      <c r="AB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46220</v>
      </c>
      <c r="F9" t="inlineStr">
        <is>
          <t>VÄRMLANDS LÄN</t>
        </is>
      </c>
      <c r="G9" t="inlineStr">
        <is>
          <t>FORSHAGA</t>
        </is>
      </c>
      <c r="I9" t="n">
        <v>4.2</v>
      </c>
      <c r="J9" t="n">
        <v>2</v>
      </c>
      <c r="K9" t="n">
        <v>2</v>
      </c>
      <c r="L9" t="n">
        <v>0</v>
      </c>
      <c r="M9" t="n">
        <v>0</v>
      </c>
      <c r="N9" t="n">
        <v>0</v>
      </c>
      <c r="O9" t="n">
        <v>0</v>
      </c>
      <c r="P9" t="n">
        <v>0</v>
      </c>
      <c r="Q9" t="n">
        <v>0</v>
      </c>
      <c r="R9" t="n">
        <v>0</v>
      </c>
      <c r="S9" t="n">
        <v>3</v>
      </c>
      <c r="T9" t="n">
        <v>3</v>
      </c>
      <c r="U9" s="2" t="inlineStr">
        <is>
          <t>Nästrot
Svart trolldruva
Blåsippa</t>
        </is>
      </c>
      <c r="V9">
        <f>HYPERLINK("https://klasma.github.io/Logging_1763/artfynd/A 5766-2026 artfynd.xlsx", "A 5766-2026")</f>
        <v/>
      </c>
      <c r="W9">
        <f>HYPERLINK("https://klasma.github.io/Logging_1763/kartor/A 5766-2026 karta.png", "A 5766-2026")</f>
        <v/>
      </c>
      <c r="Y9">
        <f>HYPERLINK("https://klasma.github.io/Logging_1763/klagomål/A 5766-2026 FSC-klagomål.docx", "A 5766-2026")</f>
        <v/>
      </c>
      <c r="Z9">
        <f>HYPERLINK("https://klasma.github.io/Logging_1763/klagomålsmail/A 5766-2026 FSC-klagomål mail.docx", "A 5766-2026")</f>
        <v/>
      </c>
      <c r="AA9">
        <f>HYPERLINK("https://klasma.github.io/Logging_1763/tillsyn/A 5766-2026 tillsynsbegäran.docx", "A 5766-2026")</f>
        <v/>
      </c>
      <c r="AB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46220</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s="2" t="inlineStr">
        <is>
          <t>Ävjepilört
Springkorn
Strutbräken</t>
        </is>
      </c>
      <c r="V10">
        <f>HYPERLINK("https://klasma.github.io/Logging_1763/artfynd/A 12854-2026 artfynd.xlsx", "A 12854-2026")</f>
        <v/>
      </c>
      <c r="W10">
        <f>HYPERLINK("https://klasma.github.io/Logging_1763/kartor/A 12854-2026 karta.png", "A 12854-2026")</f>
        <v/>
      </c>
      <c r="Y10">
        <f>HYPERLINK("https://klasma.github.io/Logging_1763/klagomål/A 12854-2026 FSC-klagomål.docx", "A 12854-2026")</f>
        <v/>
      </c>
      <c r="Z10">
        <f>HYPERLINK("https://klasma.github.io/Logging_1763/klagomålsmail/A 12854-2026 FSC-klagomål mail.docx", "A 12854-2026")</f>
        <v/>
      </c>
      <c r="AA10">
        <f>HYPERLINK("https://klasma.github.io/Logging_1763/tillsyn/A 12854-2026 tillsynsbegäran.docx", "A 12854-2026")</f>
        <v/>
      </c>
      <c r="AB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46220</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s="2" t="inlineStr">
        <is>
          <t>Gransotdyna
Mörk husmossa
Blåsippa</t>
        </is>
      </c>
      <c r="V11">
        <f>HYPERLINK("https://klasma.github.io/Logging_1763/artfynd/A 18103-2026 artfynd.xlsx", "A 18103-2026")</f>
        <v/>
      </c>
      <c r="W11">
        <f>HYPERLINK("https://klasma.github.io/Logging_1763/kartor/A 18103-2026 karta.png", "A 18103-2026")</f>
        <v/>
      </c>
      <c r="Y11">
        <f>HYPERLINK("https://klasma.github.io/Logging_1763/klagomål/A 18103-2026 FSC-klagomål.docx", "A 18103-2026")</f>
        <v/>
      </c>
      <c r="Z11">
        <f>HYPERLINK("https://klasma.github.io/Logging_1763/klagomålsmail/A 18103-2026 FSC-klagomål mail.docx", "A 18103-2026")</f>
        <v/>
      </c>
      <c r="AA11">
        <f>HYPERLINK("https://klasma.github.io/Logging_1763/tillsyn/A 18103-2026 tillsynsbegäran.docx", "A 18103-2026")</f>
        <v/>
      </c>
      <c r="AB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46220</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s="2" t="inlineStr">
        <is>
          <t>Brunfläckig pärlemorfjäril
Göktyta
Sotnätfjäril</t>
        </is>
      </c>
      <c r="V12">
        <f>HYPERLINK("https://klasma.github.io/Logging_1763/artfynd/A 14114-2022 artfynd.xlsx", "A 14114-2022")</f>
        <v/>
      </c>
      <c r="W12">
        <f>HYPERLINK("https://klasma.github.io/Logging_1763/kartor/A 14114-2022 karta.png", "A 14114-2022")</f>
        <v/>
      </c>
      <c r="Y12">
        <f>HYPERLINK("https://klasma.github.io/Logging_1763/klagomål/A 14114-2022 FSC-klagomål.docx", "A 14114-2022")</f>
        <v/>
      </c>
      <c r="Z12">
        <f>HYPERLINK("https://klasma.github.io/Logging_1763/klagomålsmail/A 14114-2022 FSC-klagomål mail.docx", "A 14114-2022")</f>
        <v/>
      </c>
      <c r="AA12">
        <f>HYPERLINK("https://klasma.github.io/Logging_1763/tillsyn/A 14114-2022 tillsynsbegäran.docx", "A 14114-2022")</f>
        <v/>
      </c>
      <c r="AB12">
        <f>HYPERLINK("https://klasma.github.io/Logging_1763/tillsynsmail/A 14114-2022 tillsynsbegäran mail.docx", "A 14114-2022")</f>
        <v/>
      </c>
      <c r="AC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46220</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46220</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46220</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46220</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s="2" t="inlineStr">
        <is>
          <t>Mindre flugsnappare</t>
        </is>
      </c>
      <c r="V17">
        <f>HYPERLINK("https://klasma.github.io/Logging_1763/artfynd/A 13208-2023 artfynd.xlsx", "A 13208-2023")</f>
        <v/>
      </c>
      <c r="W17">
        <f>HYPERLINK("https://klasma.github.io/Logging_1763/kartor/A 13208-2023 karta.png", "A 13208-2023")</f>
        <v/>
      </c>
      <c r="Y17">
        <f>HYPERLINK("https://klasma.github.io/Logging_1763/klagomål/A 13208-2023 FSC-klagomål.docx", "A 13208-2023")</f>
        <v/>
      </c>
      <c r="Z17">
        <f>HYPERLINK("https://klasma.github.io/Logging_1763/klagomålsmail/A 13208-2023 FSC-klagomål mail.docx", "A 13208-2023")</f>
        <v/>
      </c>
      <c r="AA17">
        <f>HYPERLINK("https://klasma.github.io/Logging_1763/tillsyn/A 13208-2023 tillsynsbegäran.docx", "A 13208-2023")</f>
        <v/>
      </c>
      <c r="AB17">
        <f>HYPERLINK("https://klasma.github.io/Logging_1763/tillsynsmail/A 13208-2023 tillsynsbegäran mail.docx", "A 13208-2023")</f>
        <v/>
      </c>
      <c r="AC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46220</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s="2" t="inlineStr">
        <is>
          <t>Mindre hackspett</t>
        </is>
      </c>
      <c r="V18">
        <f>HYPERLINK("https://klasma.github.io/Logging_1763/artfynd/A 60736-2022 artfynd.xlsx", "A 60736-2022")</f>
        <v/>
      </c>
      <c r="W18">
        <f>HYPERLINK("https://klasma.github.io/Logging_1763/kartor/A 60736-2022 karta.png", "A 60736-2022")</f>
        <v/>
      </c>
      <c r="Y18">
        <f>HYPERLINK("https://klasma.github.io/Logging_1763/klagomål/A 60736-2022 FSC-klagomål.docx", "A 60736-2022")</f>
        <v/>
      </c>
      <c r="Z18">
        <f>HYPERLINK("https://klasma.github.io/Logging_1763/klagomålsmail/A 60736-2022 FSC-klagomål mail.docx", "A 60736-2022")</f>
        <v/>
      </c>
      <c r="AA18">
        <f>HYPERLINK("https://klasma.github.io/Logging_1763/tillsyn/A 60736-2022 tillsynsbegäran.docx", "A 60736-2022")</f>
        <v/>
      </c>
      <c r="AB18">
        <f>HYPERLINK("https://klasma.github.io/Logging_1763/tillsynsmail/A 60736-2022 tillsynsbegäran mail.docx", "A 60736-2022")</f>
        <v/>
      </c>
      <c r="AC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46220</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s="2" t="inlineStr">
        <is>
          <t>Scharlakansvårskål agg.</t>
        </is>
      </c>
      <c r="V19">
        <f>HYPERLINK("https://klasma.github.io/Logging_1763/artfynd/A 45484-2023 artfynd.xlsx", "A 45484-2023")</f>
        <v/>
      </c>
      <c r="W19">
        <f>HYPERLINK("https://klasma.github.io/Logging_1763/kartor/A 45484-2023 karta.png", "A 45484-2023")</f>
        <v/>
      </c>
      <c r="Y19">
        <f>HYPERLINK("https://klasma.github.io/Logging_1763/klagomål/A 45484-2023 FSC-klagomål.docx", "A 45484-2023")</f>
        <v/>
      </c>
      <c r="Z19">
        <f>HYPERLINK("https://klasma.github.io/Logging_1763/klagomålsmail/A 45484-2023 FSC-klagomål mail.docx", "A 45484-2023")</f>
        <v/>
      </c>
      <c r="AA19">
        <f>HYPERLINK("https://klasma.github.io/Logging_1763/tillsyn/A 45484-2023 tillsynsbegäran.docx", "A 45484-2023")</f>
        <v/>
      </c>
      <c r="AB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46220</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s="2" t="inlineStr">
        <is>
          <t>Blåsippa</t>
        </is>
      </c>
      <c r="V20">
        <f>HYPERLINK("https://klasma.github.io/Logging_1763/artfynd/A 67321-2021 artfynd.xlsx", "A 67321-2021")</f>
        <v/>
      </c>
      <c r="W20">
        <f>HYPERLINK("https://klasma.github.io/Logging_1763/kartor/A 67321-2021 karta.png", "A 67321-2021")</f>
        <v/>
      </c>
      <c r="Y20">
        <f>HYPERLINK("https://klasma.github.io/Logging_1763/klagomål/A 67321-2021 FSC-klagomål.docx", "A 67321-2021")</f>
        <v/>
      </c>
      <c r="Z20">
        <f>HYPERLINK("https://klasma.github.io/Logging_1763/klagomålsmail/A 67321-2021 FSC-klagomål mail.docx", "A 67321-2021")</f>
        <v/>
      </c>
      <c r="AA20">
        <f>HYPERLINK("https://klasma.github.io/Logging_1763/tillsyn/A 67321-2021 tillsynsbegäran.docx", "A 67321-2021")</f>
        <v/>
      </c>
      <c r="AB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46220</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s="2" t="inlineStr">
        <is>
          <t>Springkorn</t>
        </is>
      </c>
      <c r="V21">
        <f>HYPERLINK("https://klasma.github.io/Logging_1763/artfynd/A 31980-2023 artfynd.xlsx", "A 31980-2023")</f>
        <v/>
      </c>
      <c r="W21">
        <f>HYPERLINK("https://klasma.github.io/Logging_1763/kartor/A 31980-2023 karta.png", "A 31980-2023")</f>
        <v/>
      </c>
      <c r="Y21">
        <f>HYPERLINK("https://klasma.github.io/Logging_1763/klagomål/A 31980-2023 FSC-klagomål.docx", "A 31980-2023")</f>
        <v/>
      </c>
      <c r="Z21">
        <f>HYPERLINK("https://klasma.github.io/Logging_1763/klagomålsmail/A 31980-2023 FSC-klagomål mail.docx", "A 31980-2023")</f>
        <v/>
      </c>
      <c r="AA21">
        <f>HYPERLINK("https://klasma.github.io/Logging_1763/tillsyn/A 31980-2023 tillsynsbegäran.docx", "A 31980-2023")</f>
        <v/>
      </c>
      <c r="AB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46220</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s="2" t="inlineStr">
        <is>
          <t>Gullpudra</t>
        </is>
      </c>
      <c r="V22">
        <f>HYPERLINK("https://klasma.github.io/Logging_1763/artfynd/A 53706-2022 artfynd.xlsx", "A 53706-2022")</f>
        <v/>
      </c>
      <c r="W22">
        <f>HYPERLINK("https://klasma.github.io/Logging_1763/kartor/A 53706-2022 karta.png", "A 53706-2022")</f>
        <v/>
      </c>
      <c r="Y22">
        <f>HYPERLINK("https://klasma.github.io/Logging_1763/klagomål/A 53706-2022 FSC-klagomål.docx", "A 53706-2022")</f>
        <v/>
      </c>
      <c r="Z22">
        <f>HYPERLINK("https://klasma.github.io/Logging_1763/klagomålsmail/A 53706-2022 FSC-klagomål mail.docx", "A 53706-2022")</f>
        <v/>
      </c>
      <c r="AA22">
        <f>HYPERLINK("https://klasma.github.io/Logging_1763/tillsyn/A 53706-2022 tillsynsbegäran.docx", "A 53706-2022")</f>
        <v/>
      </c>
      <c r="AB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46220</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s="2" t="inlineStr">
        <is>
          <t>Nattviol</t>
        </is>
      </c>
      <c r="V23">
        <f>HYPERLINK("https://klasma.github.io/Logging_1763/artfynd/A 35334-2024 artfynd.xlsx", "A 35334-2024")</f>
        <v/>
      </c>
      <c r="W23">
        <f>HYPERLINK("https://klasma.github.io/Logging_1763/kartor/A 35334-2024 karta.png", "A 35334-2024")</f>
        <v/>
      </c>
      <c r="Y23">
        <f>HYPERLINK("https://klasma.github.io/Logging_1763/klagomål/A 35334-2024 FSC-klagomål.docx", "A 35334-2024")</f>
        <v/>
      </c>
      <c r="Z23">
        <f>HYPERLINK("https://klasma.github.io/Logging_1763/klagomålsmail/A 35334-2024 FSC-klagomål mail.docx", "A 35334-2024")</f>
        <v/>
      </c>
      <c r="AA23">
        <f>HYPERLINK("https://klasma.github.io/Logging_1763/tillsyn/A 35334-2024 tillsynsbegäran.docx", "A 35334-2024")</f>
        <v/>
      </c>
      <c r="AB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46220</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s="2" t="inlineStr">
        <is>
          <t>Mattlummer</t>
        </is>
      </c>
      <c r="V24">
        <f>HYPERLINK("https://klasma.github.io/Logging_1763/artfynd/A 46620-2024 artfynd.xlsx", "A 46620-2024")</f>
        <v/>
      </c>
      <c r="W24">
        <f>HYPERLINK("https://klasma.github.io/Logging_1763/kartor/A 46620-2024 karta.png", "A 46620-2024")</f>
        <v/>
      </c>
      <c r="Y24">
        <f>HYPERLINK("https://klasma.github.io/Logging_1763/klagomål/A 46620-2024 FSC-klagomål.docx", "A 46620-2024")</f>
        <v/>
      </c>
      <c r="Z24">
        <f>HYPERLINK("https://klasma.github.io/Logging_1763/klagomålsmail/A 46620-2024 FSC-klagomål mail.docx", "A 46620-2024")</f>
        <v/>
      </c>
      <c r="AA24">
        <f>HYPERLINK("https://klasma.github.io/Logging_1763/tillsyn/A 46620-2024 tillsynsbegäran.docx", "A 46620-2024")</f>
        <v/>
      </c>
      <c r="AB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46220</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s="2" t="inlineStr">
        <is>
          <t>Fläcknycklar</t>
        </is>
      </c>
      <c r="V25">
        <f>HYPERLINK("https://klasma.github.io/Logging_1763/artfynd/A 35573-2023 artfynd.xlsx", "A 35573-2023")</f>
        <v/>
      </c>
      <c r="W25">
        <f>HYPERLINK("https://klasma.github.io/Logging_1763/kartor/A 35573-2023 karta.png", "A 35573-2023")</f>
        <v/>
      </c>
      <c r="Y25">
        <f>HYPERLINK("https://klasma.github.io/Logging_1763/klagomål/A 35573-2023 FSC-klagomål.docx", "A 35573-2023")</f>
        <v/>
      </c>
      <c r="Z25">
        <f>HYPERLINK("https://klasma.github.io/Logging_1763/klagomålsmail/A 35573-2023 FSC-klagomål mail.docx", "A 35573-2023")</f>
        <v/>
      </c>
      <c r="AA25">
        <f>HYPERLINK("https://klasma.github.io/Logging_1763/tillsyn/A 35573-2023 tillsynsbegäran.docx", "A 35573-2023")</f>
        <v/>
      </c>
      <c r="AB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46220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s="2" t="inlineStr"/>
    </row>
    <row r="28" ht="15" customHeight="1">
      <c r="A28" t="inlineStr">
        <is>
          <t>A 39802-2021</t>
        </is>
      </c>
      <c r="B28" t="inlineStr">
        <is>
          <t>avverkningsanmälan</t>
        </is>
      </c>
      <c r="C28" t="inlineStr">
        <is>
          <t>Föryngringsavverkning</t>
        </is>
      </c>
      <c r="D28" s="1" t="n">
        <v>44417</v>
      </c>
      <c r="E28" s="1" t="n">
        <v>46220</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46220</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46220</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46220</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46220</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46220</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46220</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46220</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46220</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46220</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46220</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46220</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46220</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46220</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46220</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46220</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46220</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29507-2022</t>
        </is>
      </c>
      <c r="B45" t="inlineStr">
        <is>
          <t>avverkningsanmälan</t>
        </is>
      </c>
      <c r="C45" t="inlineStr">
        <is>
          <t>Föryngringsavverkning</t>
        </is>
      </c>
      <c r="D45" s="1" t="n">
        <v>44753</v>
      </c>
      <c r="E45" s="1" t="n">
        <v>46220</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s="2" t="inlineStr"/>
    </row>
    <row r="46" ht="15" customHeight="1">
      <c r="A46" t="inlineStr">
        <is>
          <t>A 7830-2022</t>
        </is>
      </c>
      <c r="B46" t="inlineStr">
        <is>
          <t>avverkningsanmälan</t>
        </is>
      </c>
      <c r="C46" t="inlineStr">
        <is>
          <t>Avverkning för annat ändamål</t>
        </is>
      </c>
      <c r="D46" s="1" t="n">
        <v>44608</v>
      </c>
      <c r="E46" s="1" t="n">
        <v>46220</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46220</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46220</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46220</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46220</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33033-2022</t>
        </is>
      </c>
      <c r="B51" t="inlineStr">
        <is>
          <t>avverkningsanmälan</t>
        </is>
      </c>
      <c r="C51" t="inlineStr">
        <is>
          <t>Föryngringsavverkning</t>
        </is>
      </c>
      <c r="D51" s="1" t="n">
        <v>44785</v>
      </c>
      <c r="E51" s="1" t="n">
        <v>46220</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s="2" t="inlineStr"/>
    </row>
    <row r="52" ht="15" customHeight="1">
      <c r="A52" t="inlineStr">
        <is>
          <t>A 50060-2022</t>
        </is>
      </c>
      <c r="B52" t="inlineStr">
        <is>
          <t>avverkningsanmälan</t>
        </is>
      </c>
      <c r="C52" t="inlineStr">
        <is>
          <t>Föryngringsavverkning</t>
        </is>
      </c>
      <c r="D52" s="1" t="n">
        <v>44865</v>
      </c>
      <c r="E52" s="1" t="n">
        <v>46220</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s="2" t="inlineStr"/>
    </row>
    <row r="53" ht="15" customHeight="1">
      <c r="A53" t="inlineStr">
        <is>
          <t>A 29520-2022</t>
        </is>
      </c>
      <c r="B53" t="inlineStr">
        <is>
          <t>avverkningsanmälan</t>
        </is>
      </c>
      <c r="C53" t="inlineStr">
        <is>
          <t>Föryngringsavverkning</t>
        </is>
      </c>
      <c r="D53" s="1" t="n">
        <v>44753</v>
      </c>
      <c r="E53" s="1" t="n">
        <v>46220</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s="2" t="inlineStr"/>
    </row>
    <row r="54" ht="15" customHeight="1">
      <c r="A54" t="inlineStr">
        <is>
          <t>A 7289-2022</t>
        </is>
      </c>
      <c r="B54" t="inlineStr">
        <is>
          <t>avverkningsanmälan</t>
        </is>
      </c>
      <c r="C54" t="inlineStr">
        <is>
          <t>Föryngringsavverkning</t>
        </is>
      </c>
      <c r="D54" s="1" t="n">
        <v>44606</v>
      </c>
      <c r="E54" s="1" t="n">
        <v>46220</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s="2" t="inlineStr"/>
    </row>
    <row r="55" ht="15" customHeight="1">
      <c r="A55" t="inlineStr">
        <is>
          <t>A 67198-2021</t>
        </is>
      </c>
      <c r="B55" t="inlineStr">
        <is>
          <t>avverkningsanmälan</t>
        </is>
      </c>
      <c r="C55" t="inlineStr">
        <is>
          <t>Föryngringsavverkning</t>
        </is>
      </c>
      <c r="D55" s="1" t="n">
        <v>44523</v>
      </c>
      <c r="E55" s="1" t="n">
        <v>46220</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s="2" t="inlineStr"/>
    </row>
    <row r="56" ht="15" customHeight="1">
      <c r="A56" t="inlineStr">
        <is>
          <t>A 23020-2022</t>
        </is>
      </c>
      <c r="B56" t="inlineStr">
        <is>
          <t>avverkningsanmälan</t>
        </is>
      </c>
      <c r="C56" t="inlineStr">
        <is>
          <t>Föryngringsavverkning</t>
        </is>
      </c>
      <c r="D56" s="1" t="n">
        <v>44719</v>
      </c>
      <c r="E56" s="1" t="n">
        <v>46220</v>
      </c>
      <c r="F56" t="inlineStr">
        <is>
          <t>VÄRMLANDS LÄN</t>
        </is>
      </c>
      <c r="G56" t="inlineStr">
        <is>
          <t>FORSHAGA</t>
        </is>
      </c>
      <c r="I56" t="n">
        <v>4.3</v>
      </c>
      <c r="J56" t="n">
        <v>0</v>
      </c>
      <c r="K56" t="n">
        <v>0</v>
      </c>
      <c r="L56" t="n">
        <v>0</v>
      </c>
      <c r="M56" t="n">
        <v>0</v>
      </c>
      <c r="N56" t="n">
        <v>0</v>
      </c>
      <c r="O56" t="n">
        <v>0</v>
      </c>
      <c r="P56" t="n">
        <v>0</v>
      </c>
      <c r="Q56" t="n">
        <v>0</v>
      </c>
      <c r="R56" t="n">
        <v>0</v>
      </c>
      <c r="S56" t="n">
        <v>0</v>
      </c>
      <c r="T56" t="n">
        <v>0</v>
      </c>
      <c r="U56" s="2" t="inlineStr"/>
    </row>
    <row r="57" ht="15" customHeight="1">
      <c r="A57" t="inlineStr">
        <is>
          <t>A 45736-2021</t>
        </is>
      </c>
      <c r="B57" t="inlineStr">
        <is>
          <t>avverkningsanmälan</t>
        </is>
      </c>
      <c r="C57" t="inlineStr">
        <is>
          <t>Föryngringsavverkning</t>
        </is>
      </c>
      <c r="D57" s="1" t="n">
        <v>44441</v>
      </c>
      <c r="E57" s="1" t="n">
        <v>46220</v>
      </c>
      <c r="F57" t="inlineStr">
        <is>
          <t>VÄRMLANDS LÄN</t>
        </is>
      </c>
      <c r="G57" t="inlineStr">
        <is>
          <t>FORSHAGA</t>
        </is>
      </c>
      <c r="I57" t="n">
        <v>12</v>
      </c>
      <c r="J57" t="n">
        <v>0</v>
      </c>
      <c r="K57" t="n">
        <v>0</v>
      </c>
      <c r="L57" t="n">
        <v>0</v>
      </c>
      <c r="M57" t="n">
        <v>0</v>
      </c>
      <c r="N57" t="n">
        <v>0</v>
      </c>
      <c r="O57" t="n">
        <v>0</v>
      </c>
      <c r="P57" t="n">
        <v>0</v>
      </c>
      <c r="Q57" t="n">
        <v>0</v>
      </c>
      <c r="R57" t="n">
        <v>0</v>
      </c>
      <c r="S57" t="n">
        <v>0</v>
      </c>
      <c r="T57" t="n">
        <v>0</v>
      </c>
      <c r="U57" s="2" t="inlineStr"/>
    </row>
    <row r="58" ht="15" customHeight="1">
      <c r="A58" t="inlineStr">
        <is>
          <t>A 45738-2021</t>
        </is>
      </c>
      <c r="B58" t="inlineStr">
        <is>
          <t>avverkningsanmälan</t>
        </is>
      </c>
      <c r="C58" t="inlineStr">
        <is>
          <t>Föryngringsavverkning</t>
        </is>
      </c>
      <c r="D58" s="1" t="n">
        <v>44441</v>
      </c>
      <c r="E58" s="1" t="n">
        <v>46220</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s="2" t="inlineStr"/>
    </row>
    <row r="59" ht="15" customHeight="1">
      <c r="A59" t="inlineStr">
        <is>
          <t>A 73265-2021</t>
        </is>
      </c>
      <c r="B59" t="inlineStr">
        <is>
          <t>avverkningsanmälan</t>
        </is>
      </c>
      <c r="C59" t="inlineStr">
        <is>
          <t>Föryngringsavverkning</t>
        </is>
      </c>
      <c r="D59" s="1" t="n">
        <v>44550</v>
      </c>
      <c r="E59" s="1" t="n">
        <v>46220</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s="2" t="inlineStr"/>
    </row>
    <row r="60" ht="15" customHeight="1">
      <c r="A60" t="inlineStr">
        <is>
          <t>A 72240-2021</t>
        </is>
      </c>
      <c r="B60" t="inlineStr">
        <is>
          <t>avverkningsanmälan</t>
        </is>
      </c>
      <c r="C60" t="inlineStr">
        <is>
          <t>Föryngringsavverkning</t>
        </is>
      </c>
      <c r="D60" s="1" t="n">
        <v>44544</v>
      </c>
      <c r="E60" s="1" t="n">
        <v>46220</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s="2" t="inlineStr"/>
    </row>
    <row r="61" ht="15" customHeight="1">
      <c r="A61" t="inlineStr">
        <is>
          <t>A 46701-2021</t>
        </is>
      </c>
      <c r="B61" t="inlineStr">
        <is>
          <t>avverkningsanmälan</t>
        </is>
      </c>
      <c r="C61" t="inlineStr">
        <is>
          <t>Föryngringsavverkning</t>
        </is>
      </c>
      <c r="D61" s="1" t="n">
        <v>44445</v>
      </c>
      <c r="E61" s="1" t="n">
        <v>46220</v>
      </c>
      <c r="F61" t="inlineStr">
        <is>
          <t>VÄRMLANDS LÄN</t>
        </is>
      </c>
      <c r="G61" t="inlineStr">
        <is>
          <t>FORSHAGA</t>
        </is>
      </c>
      <c r="I61" t="n">
        <v>1.3</v>
      </c>
      <c r="J61" t="n">
        <v>0</v>
      </c>
      <c r="K61" t="n">
        <v>0</v>
      </c>
      <c r="L61" t="n">
        <v>0</v>
      </c>
      <c r="M61" t="n">
        <v>0</v>
      </c>
      <c r="N61" t="n">
        <v>0</v>
      </c>
      <c r="O61" t="n">
        <v>0</v>
      </c>
      <c r="P61" t="n">
        <v>0</v>
      </c>
      <c r="Q61" t="n">
        <v>0</v>
      </c>
      <c r="R61" t="n">
        <v>0</v>
      </c>
      <c r="S61" t="n">
        <v>0</v>
      </c>
      <c r="T61" t="n">
        <v>0</v>
      </c>
      <c r="U61" s="2" t="inlineStr"/>
    </row>
    <row r="62" ht="15" customHeight="1">
      <c r="A62" t="inlineStr">
        <is>
          <t>A 25094-2024</t>
        </is>
      </c>
      <c r="B62" t="inlineStr">
        <is>
          <t>avverkningsanmälan</t>
        </is>
      </c>
      <c r="C62" t="inlineStr">
        <is>
          <t>Föryngringsavverkning</t>
        </is>
      </c>
      <c r="D62" s="1" t="n">
        <v>45462</v>
      </c>
      <c r="E62" s="1" t="n">
        <v>46220</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s="2" t="inlineStr"/>
    </row>
    <row r="63" ht="15" customHeight="1">
      <c r="A63" t="inlineStr">
        <is>
          <t>A 23451-2024</t>
        </is>
      </c>
      <c r="B63" t="inlineStr">
        <is>
          <t>avverkningsanmälan</t>
        </is>
      </c>
      <c r="C63" t="inlineStr">
        <is>
          <t>Föryngringsavverkning</t>
        </is>
      </c>
      <c r="D63" s="1" t="n">
        <v>45453</v>
      </c>
      <c r="E63" s="1" t="n">
        <v>46220</v>
      </c>
      <c r="F63" t="inlineStr">
        <is>
          <t>VÄRMLANDS LÄN</t>
        </is>
      </c>
      <c r="G63" t="inlineStr">
        <is>
          <t>FORSHAGA</t>
        </is>
      </c>
      <c r="I63" t="n">
        <v>6.1</v>
      </c>
      <c r="J63" t="n">
        <v>0</v>
      </c>
      <c r="K63" t="n">
        <v>0</v>
      </c>
      <c r="L63" t="n">
        <v>0</v>
      </c>
      <c r="M63" t="n">
        <v>0</v>
      </c>
      <c r="N63" t="n">
        <v>0</v>
      </c>
      <c r="O63" t="n">
        <v>0</v>
      </c>
      <c r="P63" t="n">
        <v>0</v>
      </c>
      <c r="Q63" t="n">
        <v>0</v>
      </c>
      <c r="R63" t="n">
        <v>0</v>
      </c>
      <c r="S63" t="n">
        <v>0</v>
      </c>
      <c r="T63" t="n">
        <v>0</v>
      </c>
      <c r="U63" s="2" t="inlineStr"/>
    </row>
    <row r="64" ht="15" customHeight="1">
      <c r="A64" t="inlineStr">
        <is>
          <t>A 6947-2025</t>
        </is>
      </c>
      <c r="B64" t="inlineStr">
        <is>
          <t>avverkningsanmälan</t>
        </is>
      </c>
      <c r="C64" t="inlineStr">
        <is>
          <t>Avverkning för att bevara och utveckla /försöksver</t>
        </is>
      </c>
      <c r="D64" s="1" t="n">
        <v>45701</v>
      </c>
      <c r="E64" s="1" t="n">
        <v>46220</v>
      </c>
      <c r="F64" t="inlineStr">
        <is>
          <t>VÄRMLANDS LÄN</t>
        </is>
      </c>
      <c r="G64" t="inlineStr">
        <is>
          <t>FORSHAGA</t>
        </is>
      </c>
      <c r="H64" t="inlineStr">
        <is>
          <t>Bergvik skog väst AB</t>
        </is>
      </c>
      <c r="I64" t="n">
        <v>2.4</v>
      </c>
      <c r="J64" t="n">
        <v>0</v>
      </c>
      <c r="K64" t="n">
        <v>0</v>
      </c>
      <c r="L64" t="n">
        <v>0</v>
      </c>
      <c r="M64" t="n">
        <v>0</v>
      </c>
      <c r="N64" t="n">
        <v>0</v>
      </c>
      <c r="O64" t="n">
        <v>0</v>
      </c>
      <c r="P64" t="n">
        <v>0</v>
      </c>
      <c r="Q64" t="n">
        <v>0</v>
      </c>
      <c r="R64" t="n">
        <v>0</v>
      </c>
      <c r="S64" t="n">
        <v>0</v>
      </c>
      <c r="T64" t="n">
        <v>0</v>
      </c>
      <c r="U64" s="2" t="inlineStr"/>
    </row>
    <row r="65" ht="15" customHeight="1">
      <c r="A65" t="inlineStr">
        <is>
          <t>A 34427-2024</t>
        </is>
      </c>
      <c r="B65" t="inlineStr">
        <is>
          <t>avverkningsanmälan</t>
        </is>
      </c>
      <c r="C65" t="inlineStr">
        <is>
          <t>Avverkning för att bevara och utveckla /försöksver</t>
        </is>
      </c>
      <c r="D65" s="1" t="n">
        <v>45525</v>
      </c>
      <c r="E65" s="1" t="n">
        <v>46220</v>
      </c>
      <c r="F65" t="inlineStr">
        <is>
          <t>VÄRMLANDS LÄN</t>
        </is>
      </c>
      <c r="G65" t="inlineStr">
        <is>
          <t>FORSHAGA</t>
        </is>
      </c>
      <c r="H65" t="inlineStr">
        <is>
          <t>Bergvik skog väst AB</t>
        </is>
      </c>
      <c r="I65" t="n">
        <v>2.6</v>
      </c>
      <c r="J65" t="n">
        <v>0</v>
      </c>
      <c r="K65" t="n">
        <v>0</v>
      </c>
      <c r="L65" t="n">
        <v>0</v>
      </c>
      <c r="M65" t="n">
        <v>0</v>
      </c>
      <c r="N65" t="n">
        <v>0</v>
      </c>
      <c r="O65" t="n">
        <v>0</v>
      </c>
      <c r="P65" t="n">
        <v>0</v>
      </c>
      <c r="Q65" t="n">
        <v>0</v>
      </c>
      <c r="R65" t="n">
        <v>0</v>
      </c>
      <c r="S65" t="n">
        <v>0</v>
      </c>
      <c r="T65" t="n">
        <v>0</v>
      </c>
      <c r="U65" s="2" t="inlineStr"/>
    </row>
    <row r="66" ht="15" customHeight="1">
      <c r="A66" t="inlineStr">
        <is>
          <t>A 39213-2023</t>
        </is>
      </c>
      <c r="B66" t="inlineStr">
        <is>
          <t>avverkningsanmälan</t>
        </is>
      </c>
      <c r="C66" t="inlineStr">
        <is>
          <t>Föryngringsavverkning</t>
        </is>
      </c>
      <c r="D66" s="1" t="n">
        <v>45166</v>
      </c>
      <c r="E66" s="1" t="n">
        <v>46220</v>
      </c>
      <c r="F66" t="inlineStr">
        <is>
          <t>VÄRMLANDS LÄN</t>
        </is>
      </c>
      <c r="G66" t="inlineStr">
        <is>
          <t>FORSHAGA</t>
        </is>
      </c>
      <c r="H66" t="inlineStr">
        <is>
          <t>Kommuner</t>
        </is>
      </c>
      <c r="I66" t="n">
        <v>2.4</v>
      </c>
      <c r="J66" t="n">
        <v>0</v>
      </c>
      <c r="K66" t="n">
        <v>0</v>
      </c>
      <c r="L66" t="n">
        <v>0</v>
      </c>
      <c r="M66" t="n">
        <v>0</v>
      </c>
      <c r="N66" t="n">
        <v>0</v>
      </c>
      <c r="O66" t="n">
        <v>0</v>
      </c>
      <c r="P66" t="n">
        <v>0</v>
      </c>
      <c r="Q66" t="n">
        <v>0</v>
      </c>
      <c r="R66" t="n">
        <v>0</v>
      </c>
      <c r="S66" t="n">
        <v>0</v>
      </c>
      <c r="T66" t="n">
        <v>0</v>
      </c>
      <c r="U66" s="2" t="inlineStr"/>
    </row>
    <row r="67" ht="15" customHeight="1">
      <c r="A67" t="inlineStr">
        <is>
          <t>A 50635-2023</t>
        </is>
      </c>
      <c r="B67" t="inlineStr">
        <is>
          <t>avverkningsanmälan</t>
        </is>
      </c>
      <c r="C67" t="inlineStr">
        <is>
          <t>Föryngringsavverkning</t>
        </is>
      </c>
      <c r="D67" s="1" t="n">
        <v>45217</v>
      </c>
      <c r="E67" s="1" t="n">
        <v>46220</v>
      </c>
      <c r="F67" t="inlineStr">
        <is>
          <t>VÄRMLANDS LÄN</t>
        </is>
      </c>
      <c r="G67" t="inlineStr">
        <is>
          <t>FORSHAGA</t>
        </is>
      </c>
      <c r="I67" t="n">
        <v>1.6</v>
      </c>
      <c r="J67" t="n">
        <v>0</v>
      </c>
      <c r="K67" t="n">
        <v>0</v>
      </c>
      <c r="L67" t="n">
        <v>0</v>
      </c>
      <c r="M67" t="n">
        <v>0</v>
      </c>
      <c r="N67" t="n">
        <v>0</v>
      </c>
      <c r="O67" t="n">
        <v>0</v>
      </c>
      <c r="P67" t="n">
        <v>0</v>
      </c>
      <c r="Q67" t="n">
        <v>0</v>
      </c>
      <c r="R67" t="n">
        <v>0</v>
      </c>
      <c r="S67" t="n">
        <v>0</v>
      </c>
      <c r="T67" t="n">
        <v>0</v>
      </c>
      <c r="U67" s="2" t="inlineStr"/>
    </row>
    <row r="68" ht="15" customHeight="1">
      <c r="A68" t="inlineStr">
        <is>
          <t>A 7273-2023</t>
        </is>
      </c>
      <c r="B68" t="inlineStr">
        <is>
          <t>avverkningsanmälan</t>
        </is>
      </c>
      <c r="C68" t="inlineStr">
        <is>
          <t>Föryngringsavverkning</t>
        </is>
      </c>
      <c r="D68" s="1" t="n">
        <v>44970</v>
      </c>
      <c r="E68" s="1" t="n">
        <v>46220</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s="2" t="inlineStr"/>
    </row>
    <row r="69" ht="15" customHeight="1">
      <c r="A69" t="inlineStr">
        <is>
          <t>A 28327-2022</t>
        </is>
      </c>
      <c r="B69" t="inlineStr">
        <is>
          <t>avverkningsanmälan</t>
        </is>
      </c>
      <c r="C69" t="inlineStr">
        <is>
          <t>Föryngringsavverkning</t>
        </is>
      </c>
      <c r="D69" s="1" t="n">
        <v>44747</v>
      </c>
      <c r="E69" s="1" t="n">
        <v>46220</v>
      </c>
      <c r="F69" t="inlineStr">
        <is>
          <t>VÄRMLANDS LÄN</t>
        </is>
      </c>
      <c r="G69" t="inlineStr">
        <is>
          <t>FORSHAGA</t>
        </is>
      </c>
      <c r="I69" t="n">
        <v>1.1</v>
      </c>
      <c r="J69" t="n">
        <v>0</v>
      </c>
      <c r="K69" t="n">
        <v>0</v>
      </c>
      <c r="L69" t="n">
        <v>0</v>
      </c>
      <c r="M69" t="n">
        <v>0</v>
      </c>
      <c r="N69" t="n">
        <v>0</v>
      </c>
      <c r="O69" t="n">
        <v>0</v>
      </c>
      <c r="P69" t="n">
        <v>0</v>
      </c>
      <c r="Q69" t="n">
        <v>0</v>
      </c>
      <c r="R69" t="n">
        <v>0</v>
      </c>
      <c r="S69" t="n">
        <v>0</v>
      </c>
      <c r="T69" t="n">
        <v>0</v>
      </c>
      <c r="U69" s="2" t="inlineStr"/>
    </row>
    <row r="70" ht="15" customHeight="1">
      <c r="A70" t="inlineStr">
        <is>
          <t>A 53573-2024</t>
        </is>
      </c>
      <c r="B70" t="inlineStr">
        <is>
          <t>avverkningsanmälan</t>
        </is>
      </c>
      <c r="C70" t="inlineStr">
        <is>
          <t>Föryngringsavverkning</t>
        </is>
      </c>
      <c r="D70" s="1" t="n">
        <v>45614</v>
      </c>
      <c r="E70" s="1" t="n">
        <v>46220</v>
      </c>
      <c r="F70" t="inlineStr">
        <is>
          <t>VÄRMLANDS LÄN</t>
        </is>
      </c>
      <c r="G70" t="inlineStr">
        <is>
          <t>FORSHAGA</t>
        </is>
      </c>
      <c r="I70" t="n">
        <v>1.3</v>
      </c>
      <c r="J70" t="n">
        <v>0</v>
      </c>
      <c r="K70" t="n">
        <v>0</v>
      </c>
      <c r="L70" t="n">
        <v>0</v>
      </c>
      <c r="M70" t="n">
        <v>0</v>
      </c>
      <c r="N70" t="n">
        <v>0</v>
      </c>
      <c r="O70" t="n">
        <v>0</v>
      </c>
      <c r="P70" t="n">
        <v>0</v>
      </c>
      <c r="Q70" t="n">
        <v>0</v>
      </c>
      <c r="R70" t="n">
        <v>0</v>
      </c>
      <c r="S70" t="n">
        <v>0</v>
      </c>
      <c r="T70" t="n">
        <v>0</v>
      </c>
      <c r="U70" s="2" t="inlineStr"/>
    </row>
    <row r="71" ht="15" customHeight="1">
      <c r="A71" t="inlineStr">
        <is>
          <t>A 18439-2025</t>
        </is>
      </c>
      <c r="B71" t="inlineStr">
        <is>
          <t>avverkningsanmälan</t>
        </is>
      </c>
      <c r="C71" t="inlineStr">
        <is>
          <t>Föryngringsavverkning</t>
        </is>
      </c>
      <c r="D71" s="1" t="n">
        <v>45762</v>
      </c>
      <c r="E71" s="1" t="n">
        <v>46220</v>
      </c>
      <c r="F71" t="inlineStr">
        <is>
          <t>VÄRMLANDS LÄN</t>
        </is>
      </c>
      <c r="G71" t="inlineStr">
        <is>
          <t>FORSHAGA</t>
        </is>
      </c>
      <c r="H71" t="inlineStr">
        <is>
          <t>Bergvik skog väst AB</t>
        </is>
      </c>
      <c r="I71" t="n">
        <v>1.2</v>
      </c>
      <c r="J71" t="n">
        <v>0</v>
      </c>
      <c r="K71" t="n">
        <v>0</v>
      </c>
      <c r="L71" t="n">
        <v>0</v>
      </c>
      <c r="M71" t="n">
        <v>0</v>
      </c>
      <c r="N71" t="n">
        <v>0</v>
      </c>
      <c r="O71" t="n">
        <v>0</v>
      </c>
      <c r="P71" t="n">
        <v>0</v>
      </c>
      <c r="Q71" t="n">
        <v>0</v>
      </c>
      <c r="R71" t="n">
        <v>0</v>
      </c>
      <c r="S71" t="n">
        <v>0</v>
      </c>
      <c r="T71" t="n">
        <v>0</v>
      </c>
      <c r="U71" s="2" t="inlineStr"/>
    </row>
    <row r="72" ht="15" customHeight="1">
      <c r="A72" t="inlineStr">
        <is>
          <t>A 28271-2024</t>
        </is>
      </c>
      <c r="B72" t="inlineStr">
        <is>
          <t>avverkningsanmälan</t>
        </is>
      </c>
      <c r="C72" t="inlineStr">
        <is>
          <t>Föryngringsavverkning</t>
        </is>
      </c>
      <c r="D72" s="1" t="n">
        <v>45477</v>
      </c>
      <c r="E72" s="1" t="n">
        <v>46220</v>
      </c>
      <c r="F72" t="inlineStr">
        <is>
          <t>VÄRMLANDS LÄN</t>
        </is>
      </c>
      <c r="G72" t="inlineStr">
        <is>
          <t>FORSHAGA</t>
        </is>
      </c>
      <c r="I72" t="n">
        <v>1.9</v>
      </c>
      <c r="J72" t="n">
        <v>0</v>
      </c>
      <c r="K72" t="n">
        <v>0</v>
      </c>
      <c r="L72" t="n">
        <v>0</v>
      </c>
      <c r="M72" t="n">
        <v>0</v>
      </c>
      <c r="N72" t="n">
        <v>0</v>
      </c>
      <c r="O72" t="n">
        <v>0</v>
      </c>
      <c r="P72" t="n">
        <v>0</v>
      </c>
      <c r="Q72" t="n">
        <v>0</v>
      </c>
      <c r="R72" t="n">
        <v>0</v>
      </c>
      <c r="S72" t="n">
        <v>0</v>
      </c>
      <c r="T72" t="n">
        <v>0</v>
      </c>
      <c r="U72" s="2" t="inlineStr"/>
    </row>
    <row r="73" ht="15" customHeight="1">
      <c r="A73" t="inlineStr">
        <is>
          <t>A 8952-2024</t>
        </is>
      </c>
      <c r="B73" t="inlineStr">
        <is>
          <t>avverkningsanmälan</t>
        </is>
      </c>
      <c r="C73" t="inlineStr">
        <is>
          <t>Föryngringsavverkning</t>
        </is>
      </c>
      <c r="D73" s="1" t="n">
        <v>45355</v>
      </c>
      <c r="E73" s="1" t="n">
        <v>46220</v>
      </c>
      <c r="F73" t="inlineStr">
        <is>
          <t>VÄRMLANDS LÄN</t>
        </is>
      </c>
      <c r="G73" t="inlineStr">
        <is>
          <t>FORSHAGA</t>
        </is>
      </c>
      <c r="I73" t="n">
        <v>1</v>
      </c>
      <c r="J73" t="n">
        <v>0</v>
      </c>
      <c r="K73" t="n">
        <v>0</v>
      </c>
      <c r="L73" t="n">
        <v>0</v>
      </c>
      <c r="M73" t="n">
        <v>0</v>
      </c>
      <c r="N73" t="n">
        <v>0</v>
      </c>
      <c r="O73" t="n">
        <v>0</v>
      </c>
      <c r="P73" t="n">
        <v>0</v>
      </c>
      <c r="Q73" t="n">
        <v>0</v>
      </c>
      <c r="R73" t="n">
        <v>0</v>
      </c>
      <c r="S73" t="n">
        <v>0</v>
      </c>
      <c r="T73" t="n">
        <v>0</v>
      </c>
      <c r="U73" s="2" t="inlineStr"/>
    </row>
    <row r="74" ht="15" customHeight="1">
      <c r="A74" t="inlineStr">
        <is>
          <t>A 827-2026</t>
        </is>
      </c>
      <c r="B74" t="inlineStr">
        <is>
          <t>avverkningsanmälan</t>
        </is>
      </c>
      <c r="C74" t="inlineStr">
        <is>
          <t>Föryngringsavverkning</t>
        </is>
      </c>
      <c r="D74" s="1" t="n">
        <v>46030</v>
      </c>
      <c r="E74" s="1" t="n">
        <v>46220</v>
      </c>
      <c r="F74" t="inlineStr">
        <is>
          <t>VÄRMLANDS LÄN</t>
        </is>
      </c>
      <c r="G74" t="inlineStr">
        <is>
          <t>FORSHAGA</t>
        </is>
      </c>
      <c r="I74" t="n">
        <v>1.2</v>
      </c>
      <c r="J74" t="n">
        <v>0</v>
      </c>
      <c r="K74" t="n">
        <v>0</v>
      </c>
      <c r="L74" t="n">
        <v>0</v>
      </c>
      <c r="M74" t="n">
        <v>0</v>
      </c>
      <c r="N74" t="n">
        <v>0</v>
      </c>
      <c r="O74" t="n">
        <v>0</v>
      </c>
      <c r="P74" t="n">
        <v>0</v>
      </c>
      <c r="Q74" t="n">
        <v>0</v>
      </c>
      <c r="R74" t="n">
        <v>0</v>
      </c>
      <c r="S74" t="n">
        <v>0</v>
      </c>
      <c r="T74" t="n">
        <v>0</v>
      </c>
      <c r="U74" s="2" t="inlineStr"/>
    </row>
    <row r="75" ht="15" customHeight="1">
      <c r="A75" t="inlineStr">
        <is>
          <t>A 46530-2023</t>
        </is>
      </c>
      <c r="B75" t="inlineStr">
        <is>
          <t>avverkningsanmälan</t>
        </is>
      </c>
      <c r="C75" t="inlineStr">
        <is>
          <t>Föryngringsavverkning</t>
        </is>
      </c>
      <c r="D75" s="1" t="n">
        <v>45197</v>
      </c>
      <c r="E75" s="1" t="n">
        <v>46220</v>
      </c>
      <c r="F75" t="inlineStr">
        <is>
          <t>VÄRMLANDS LÄN</t>
        </is>
      </c>
      <c r="G75" t="inlineStr">
        <is>
          <t>FORSHAGA</t>
        </is>
      </c>
      <c r="H75" t="inlineStr">
        <is>
          <t>Bergvik skog väst AB</t>
        </is>
      </c>
      <c r="I75" t="n">
        <v>4.1</v>
      </c>
      <c r="J75" t="n">
        <v>0</v>
      </c>
      <c r="K75" t="n">
        <v>0</v>
      </c>
      <c r="L75" t="n">
        <v>0</v>
      </c>
      <c r="M75" t="n">
        <v>0</v>
      </c>
      <c r="N75" t="n">
        <v>0</v>
      </c>
      <c r="O75" t="n">
        <v>0</v>
      </c>
      <c r="P75" t="n">
        <v>0</v>
      </c>
      <c r="Q75" t="n">
        <v>0</v>
      </c>
      <c r="R75" t="n">
        <v>0</v>
      </c>
      <c r="S75" t="n">
        <v>0</v>
      </c>
      <c r="T75" t="n">
        <v>0</v>
      </c>
      <c r="U75" s="2" t="inlineStr"/>
    </row>
    <row r="76" ht="15" customHeight="1">
      <c r="A76" t="inlineStr">
        <is>
          <t>A 25462-2025</t>
        </is>
      </c>
      <c r="B76" t="inlineStr">
        <is>
          <t>avverkningsanmälan</t>
        </is>
      </c>
      <c r="C76" t="inlineStr">
        <is>
          <t>Föryngringsavverkning</t>
        </is>
      </c>
      <c r="D76" s="1" t="n">
        <v>45802</v>
      </c>
      <c r="E76" s="1" t="n">
        <v>46220</v>
      </c>
      <c r="F76" t="inlineStr">
        <is>
          <t>VÄRMLANDS LÄN</t>
        </is>
      </c>
      <c r="G76" t="inlineStr">
        <is>
          <t>FORSHAGA</t>
        </is>
      </c>
      <c r="H76" t="inlineStr">
        <is>
          <t>Bergvik skog väst AB</t>
        </is>
      </c>
      <c r="I76" t="n">
        <v>0.8</v>
      </c>
      <c r="J76" t="n">
        <v>0</v>
      </c>
      <c r="K76" t="n">
        <v>0</v>
      </c>
      <c r="L76" t="n">
        <v>0</v>
      </c>
      <c r="M76" t="n">
        <v>0</v>
      </c>
      <c r="N76" t="n">
        <v>0</v>
      </c>
      <c r="O76" t="n">
        <v>0</v>
      </c>
      <c r="P76" t="n">
        <v>0</v>
      </c>
      <c r="Q76" t="n">
        <v>0</v>
      </c>
      <c r="R76" t="n">
        <v>0</v>
      </c>
      <c r="S76" t="n">
        <v>0</v>
      </c>
      <c r="T76" t="n">
        <v>0</v>
      </c>
      <c r="U76" s="2" t="inlineStr"/>
    </row>
    <row r="77" ht="15" customHeight="1">
      <c r="A77" t="inlineStr">
        <is>
          <t>A 73267-2021</t>
        </is>
      </c>
      <c r="B77" t="inlineStr">
        <is>
          <t>avverkningsanmälan</t>
        </is>
      </c>
      <c r="C77" t="inlineStr">
        <is>
          <t>Föryngringsavverkning</t>
        </is>
      </c>
      <c r="D77" s="1" t="n">
        <v>44550</v>
      </c>
      <c r="E77" s="1" t="n">
        <v>46220</v>
      </c>
      <c r="F77" t="inlineStr">
        <is>
          <t>VÄRMLANDS LÄN</t>
        </is>
      </c>
      <c r="G77" t="inlineStr">
        <is>
          <t>FORSHAGA</t>
        </is>
      </c>
      <c r="I77" t="n">
        <v>2.2</v>
      </c>
      <c r="J77" t="n">
        <v>0</v>
      </c>
      <c r="K77" t="n">
        <v>0</v>
      </c>
      <c r="L77" t="n">
        <v>0</v>
      </c>
      <c r="M77" t="n">
        <v>0</v>
      </c>
      <c r="N77" t="n">
        <v>0</v>
      </c>
      <c r="O77" t="n">
        <v>0</v>
      </c>
      <c r="P77" t="n">
        <v>0</v>
      </c>
      <c r="Q77" t="n">
        <v>0</v>
      </c>
      <c r="R77" t="n">
        <v>0</v>
      </c>
      <c r="S77" t="n">
        <v>0</v>
      </c>
      <c r="T77" t="n">
        <v>0</v>
      </c>
      <c r="U77" s="2" t="inlineStr"/>
    </row>
    <row r="78" ht="15" customHeight="1">
      <c r="A78" t="inlineStr">
        <is>
          <t>A 26037-2023</t>
        </is>
      </c>
      <c r="B78" t="inlineStr">
        <is>
          <t>avverkningsanmälan</t>
        </is>
      </c>
      <c r="C78" t="inlineStr">
        <is>
          <t>Föryngringsavverkning</t>
        </is>
      </c>
      <c r="D78" s="1" t="n">
        <v>45091</v>
      </c>
      <c r="E78" s="1" t="n">
        <v>46220</v>
      </c>
      <c r="F78" t="inlineStr">
        <is>
          <t>VÄRMLANDS LÄN</t>
        </is>
      </c>
      <c r="G78" t="inlineStr">
        <is>
          <t>FORSHAGA</t>
        </is>
      </c>
      <c r="I78" t="n">
        <v>1.8</v>
      </c>
      <c r="J78" t="n">
        <v>0</v>
      </c>
      <c r="K78" t="n">
        <v>0</v>
      </c>
      <c r="L78" t="n">
        <v>0</v>
      </c>
      <c r="M78" t="n">
        <v>0</v>
      </c>
      <c r="N78" t="n">
        <v>0</v>
      </c>
      <c r="O78" t="n">
        <v>0</v>
      </c>
      <c r="P78" t="n">
        <v>0</v>
      </c>
      <c r="Q78" t="n">
        <v>0</v>
      </c>
      <c r="R78" t="n">
        <v>0</v>
      </c>
      <c r="S78" t="n">
        <v>0</v>
      </c>
      <c r="T78" t="n">
        <v>0</v>
      </c>
      <c r="U78" s="2" t="inlineStr"/>
    </row>
    <row r="79" ht="15" customHeight="1">
      <c r="A79" t="inlineStr">
        <is>
          <t>A 39748-2025</t>
        </is>
      </c>
      <c r="B79" t="inlineStr">
        <is>
          <t>avverkningsanmälan</t>
        </is>
      </c>
      <c r="C79" t="inlineStr">
        <is>
          <t>Föryngringsavverkning</t>
        </is>
      </c>
      <c r="D79" s="1" t="n">
        <v>45891</v>
      </c>
      <c r="E79" s="1" t="n">
        <v>46220</v>
      </c>
      <c r="F79" t="inlineStr">
        <is>
          <t>VÄRMLANDS LÄN</t>
        </is>
      </c>
      <c r="G79" t="inlineStr">
        <is>
          <t>FORSHAGA</t>
        </is>
      </c>
      <c r="H79" t="inlineStr">
        <is>
          <t>Kyrkan</t>
        </is>
      </c>
      <c r="I79" t="n">
        <v>1.9</v>
      </c>
      <c r="J79" t="n">
        <v>0</v>
      </c>
      <c r="K79" t="n">
        <v>0</v>
      </c>
      <c r="L79" t="n">
        <v>0</v>
      </c>
      <c r="M79" t="n">
        <v>0</v>
      </c>
      <c r="N79" t="n">
        <v>0</v>
      </c>
      <c r="O79" t="n">
        <v>0</v>
      </c>
      <c r="P79" t="n">
        <v>0</v>
      </c>
      <c r="Q79" t="n">
        <v>0</v>
      </c>
      <c r="R79" t="n">
        <v>0</v>
      </c>
      <c r="S79" t="n">
        <v>0</v>
      </c>
      <c r="T79" t="n">
        <v>0</v>
      </c>
      <c r="U79" s="2" t="inlineStr"/>
    </row>
    <row r="80" ht="15" customHeight="1">
      <c r="A80" t="inlineStr">
        <is>
          <t>A 20244-2023</t>
        </is>
      </c>
      <c r="B80" t="inlineStr">
        <is>
          <t>avverkningsanmälan</t>
        </is>
      </c>
      <c r="C80" t="inlineStr">
        <is>
          <t>Föryngringsavverkning</t>
        </is>
      </c>
      <c r="D80" s="1" t="n">
        <v>45055</v>
      </c>
      <c r="E80" s="1" t="n">
        <v>46220</v>
      </c>
      <c r="F80" t="inlineStr">
        <is>
          <t>VÄRMLANDS LÄN</t>
        </is>
      </c>
      <c r="G80" t="inlineStr">
        <is>
          <t>FORSHAGA</t>
        </is>
      </c>
      <c r="I80" t="n">
        <v>1.7</v>
      </c>
      <c r="J80" t="n">
        <v>0</v>
      </c>
      <c r="K80" t="n">
        <v>0</v>
      </c>
      <c r="L80" t="n">
        <v>0</v>
      </c>
      <c r="M80" t="n">
        <v>0</v>
      </c>
      <c r="N80" t="n">
        <v>0</v>
      </c>
      <c r="O80" t="n">
        <v>0</v>
      </c>
      <c r="P80" t="n">
        <v>0</v>
      </c>
      <c r="Q80" t="n">
        <v>0</v>
      </c>
      <c r="R80" t="n">
        <v>0</v>
      </c>
      <c r="S80" t="n">
        <v>0</v>
      </c>
      <c r="T80" t="n">
        <v>0</v>
      </c>
      <c r="U80" s="2" t="inlineStr"/>
    </row>
    <row r="81" ht="15" customHeight="1">
      <c r="A81" t="inlineStr">
        <is>
          <t>A 30853-2025</t>
        </is>
      </c>
      <c r="B81" t="inlineStr">
        <is>
          <t>avverkningsanmälan</t>
        </is>
      </c>
      <c r="C81" t="inlineStr">
        <is>
          <t>Föryngringsavverkning</t>
        </is>
      </c>
      <c r="D81" s="1" t="n">
        <v>45831</v>
      </c>
      <c r="E81" s="1" t="n">
        <v>46220</v>
      </c>
      <c r="F81" t="inlineStr">
        <is>
          <t>VÄRMLANDS LÄN</t>
        </is>
      </c>
      <c r="G81" t="inlineStr">
        <is>
          <t>FORSHAGA</t>
        </is>
      </c>
      <c r="I81" t="n">
        <v>0.5</v>
      </c>
      <c r="J81" t="n">
        <v>0</v>
      </c>
      <c r="K81" t="n">
        <v>0</v>
      </c>
      <c r="L81" t="n">
        <v>0</v>
      </c>
      <c r="M81" t="n">
        <v>0</v>
      </c>
      <c r="N81" t="n">
        <v>0</v>
      </c>
      <c r="O81" t="n">
        <v>0</v>
      </c>
      <c r="P81" t="n">
        <v>0</v>
      </c>
      <c r="Q81" t="n">
        <v>0</v>
      </c>
      <c r="R81" t="n">
        <v>0</v>
      </c>
      <c r="S81" t="n">
        <v>0</v>
      </c>
      <c r="T81" t="n">
        <v>0</v>
      </c>
      <c r="U81" s="2" t="inlineStr"/>
    </row>
    <row r="82" ht="15" customHeight="1">
      <c r="A82" t="inlineStr">
        <is>
          <t>A 11765-2025</t>
        </is>
      </c>
      <c r="B82" t="inlineStr">
        <is>
          <t>avverkningsanmälan</t>
        </is>
      </c>
      <c r="C82" t="inlineStr">
        <is>
          <t>Föryngringsavverkning</t>
        </is>
      </c>
      <c r="D82" s="1" t="n">
        <v>45727</v>
      </c>
      <c r="E82" s="1" t="n">
        <v>46220</v>
      </c>
      <c r="F82" t="inlineStr">
        <is>
          <t>VÄRMLANDS LÄN</t>
        </is>
      </c>
      <c r="G82" t="inlineStr">
        <is>
          <t>FORSHAGA</t>
        </is>
      </c>
      <c r="H82" t="inlineStr">
        <is>
          <t>Bergvik skog väst AB</t>
        </is>
      </c>
      <c r="I82" t="n">
        <v>1.3</v>
      </c>
      <c r="J82" t="n">
        <v>0</v>
      </c>
      <c r="K82" t="n">
        <v>0</v>
      </c>
      <c r="L82" t="n">
        <v>0</v>
      </c>
      <c r="M82" t="n">
        <v>0</v>
      </c>
      <c r="N82" t="n">
        <v>0</v>
      </c>
      <c r="O82" t="n">
        <v>0</v>
      </c>
      <c r="P82" t="n">
        <v>0</v>
      </c>
      <c r="Q82" t="n">
        <v>0</v>
      </c>
      <c r="R82" t="n">
        <v>0</v>
      </c>
      <c r="S82" t="n">
        <v>0</v>
      </c>
      <c r="T82" t="n">
        <v>0</v>
      </c>
      <c r="U82" s="2" t="inlineStr"/>
    </row>
    <row r="83" ht="15" customHeight="1">
      <c r="A83" t="inlineStr">
        <is>
          <t>A 35335-2024</t>
        </is>
      </c>
      <c r="B83" t="inlineStr">
        <is>
          <t>avverkningsanmälan</t>
        </is>
      </c>
      <c r="C83" t="inlineStr">
        <is>
          <t>Föryngringsavverkning</t>
        </is>
      </c>
      <c r="D83" s="1" t="n">
        <v>45530</v>
      </c>
      <c r="E83" s="1" t="n">
        <v>46220</v>
      </c>
      <c r="F83" t="inlineStr">
        <is>
          <t>VÄRMLANDS LÄN</t>
        </is>
      </c>
      <c r="G83" t="inlineStr">
        <is>
          <t>FORSHAGA</t>
        </is>
      </c>
      <c r="H83" t="inlineStr">
        <is>
          <t>Kommuner</t>
        </is>
      </c>
      <c r="I83" t="n">
        <v>1.1</v>
      </c>
      <c r="J83" t="n">
        <v>0</v>
      </c>
      <c r="K83" t="n">
        <v>0</v>
      </c>
      <c r="L83" t="n">
        <v>0</v>
      </c>
      <c r="M83" t="n">
        <v>0</v>
      </c>
      <c r="N83" t="n">
        <v>0</v>
      </c>
      <c r="O83" t="n">
        <v>0</v>
      </c>
      <c r="P83" t="n">
        <v>0</v>
      </c>
      <c r="Q83" t="n">
        <v>0</v>
      </c>
      <c r="R83" t="n">
        <v>0</v>
      </c>
      <c r="S83" t="n">
        <v>0</v>
      </c>
      <c r="T83" t="n">
        <v>0</v>
      </c>
      <c r="U83" s="2" t="inlineStr"/>
    </row>
    <row r="84" ht="15" customHeight="1">
      <c r="A84" t="inlineStr">
        <is>
          <t>A 29188-2025</t>
        </is>
      </c>
      <c r="B84" t="inlineStr">
        <is>
          <t>avverkningsanmälan</t>
        </is>
      </c>
      <c r="C84" t="inlineStr">
        <is>
          <t>Föryngringsavverkning</t>
        </is>
      </c>
      <c r="D84" s="1" t="n">
        <v>45821</v>
      </c>
      <c r="E84" s="1" t="n">
        <v>46220</v>
      </c>
      <c r="F84" t="inlineStr">
        <is>
          <t>VÄRMLANDS LÄN</t>
        </is>
      </c>
      <c r="G84" t="inlineStr">
        <is>
          <t>FORSHAGA</t>
        </is>
      </c>
      <c r="I84" t="n">
        <v>0.3</v>
      </c>
      <c r="J84" t="n">
        <v>0</v>
      </c>
      <c r="K84" t="n">
        <v>0</v>
      </c>
      <c r="L84" t="n">
        <v>0</v>
      </c>
      <c r="M84" t="n">
        <v>0</v>
      </c>
      <c r="N84" t="n">
        <v>0</v>
      </c>
      <c r="O84" t="n">
        <v>0</v>
      </c>
      <c r="P84" t="n">
        <v>0</v>
      </c>
      <c r="Q84" t="n">
        <v>0</v>
      </c>
      <c r="R84" t="n">
        <v>0</v>
      </c>
      <c r="S84" t="n">
        <v>0</v>
      </c>
      <c r="T84" t="n">
        <v>0</v>
      </c>
      <c r="U84" s="2" t="inlineStr"/>
    </row>
    <row r="85" ht="15" customHeight="1">
      <c r="A85" t="inlineStr">
        <is>
          <t>A 40080-2025</t>
        </is>
      </c>
      <c r="B85" t="inlineStr">
        <is>
          <t>avverkningsanmälan</t>
        </is>
      </c>
      <c r="C85" t="inlineStr">
        <is>
          <t>Föryngringsavverkning</t>
        </is>
      </c>
      <c r="D85" s="1" t="n">
        <v>45894</v>
      </c>
      <c r="E85" s="1" t="n">
        <v>46220</v>
      </c>
      <c r="F85" t="inlineStr">
        <is>
          <t>VÄRMLANDS LÄN</t>
        </is>
      </c>
      <c r="G85" t="inlineStr">
        <is>
          <t>FORSHAGA</t>
        </is>
      </c>
      <c r="I85" t="n">
        <v>3</v>
      </c>
      <c r="J85" t="n">
        <v>0</v>
      </c>
      <c r="K85" t="n">
        <v>0</v>
      </c>
      <c r="L85" t="n">
        <v>0</v>
      </c>
      <c r="M85" t="n">
        <v>0</v>
      </c>
      <c r="N85" t="n">
        <v>0</v>
      </c>
      <c r="O85" t="n">
        <v>0</v>
      </c>
      <c r="P85" t="n">
        <v>0</v>
      </c>
      <c r="Q85" t="n">
        <v>0</v>
      </c>
      <c r="R85" t="n">
        <v>0</v>
      </c>
      <c r="S85" t="n">
        <v>0</v>
      </c>
      <c r="T85" t="n">
        <v>0</v>
      </c>
      <c r="U85" s="2" t="inlineStr"/>
    </row>
    <row r="86" ht="15" customHeight="1">
      <c r="A86" t="inlineStr">
        <is>
          <t>A 26869-2024</t>
        </is>
      </c>
      <c r="B86" t="inlineStr">
        <is>
          <t>avverkningsanmälan</t>
        </is>
      </c>
      <c r="C86" t="inlineStr">
        <is>
          <t>Avverkning för att bevara och utveckla /försöksver</t>
        </is>
      </c>
      <c r="D86" s="1" t="n">
        <v>45470</v>
      </c>
      <c r="E86" s="1" t="n">
        <v>46220</v>
      </c>
      <c r="F86" t="inlineStr">
        <is>
          <t>VÄRMLANDS LÄN</t>
        </is>
      </c>
      <c r="G86" t="inlineStr">
        <is>
          <t>FORSHAGA</t>
        </is>
      </c>
      <c r="H86" t="inlineStr">
        <is>
          <t>Bergvik skog väst AB</t>
        </is>
      </c>
      <c r="I86" t="n">
        <v>2.3</v>
      </c>
      <c r="J86" t="n">
        <v>0</v>
      </c>
      <c r="K86" t="n">
        <v>0</v>
      </c>
      <c r="L86" t="n">
        <v>0</v>
      </c>
      <c r="M86" t="n">
        <v>0</v>
      </c>
      <c r="N86" t="n">
        <v>0</v>
      </c>
      <c r="O86" t="n">
        <v>0</v>
      </c>
      <c r="P86" t="n">
        <v>0</v>
      </c>
      <c r="Q86" t="n">
        <v>0</v>
      </c>
      <c r="R86" t="n">
        <v>0</v>
      </c>
      <c r="S86" t="n">
        <v>0</v>
      </c>
      <c r="T86" t="n">
        <v>0</v>
      </c>
      <c r="U86" s="2" t="inlineStr"/>
    </row>
    <row r="87" ht="15" customHeight="1">
      <c r="A87" t="inlineStr">
        <is>
          <t>A 40744-2025</t>
        </is>
      </c>
      <c r="B87" t="inlineStr">
        <is>
          <t>avverkningsanmälan</t>
        </is>
      </c>
      <c r="C87" t="inlineStr">
        <is>
          <t>Föryngringsavverkning</t>
        </is>
      </c>
      <c r="D87" s="1" t="n">
        <v>45897</v>
      </c>
      <c r="E87" s="1" t="n">
        <v>46220</v>
      </c>
      <c r="F87" t="inlineStr">
        <is>
          <t>VÄRMLANDS LÄN</t>
        </is>
      </c>
      <c r="G87" t="inlineStr">
        <is>
          <t>FORSHAGA</t>
        </is>
      </c>
      <c r="H87" t="inlineStr">
        <is>
          <t>Kyrkan</t>
        </is>
      </c>
      <c r="I87" t="n">
        <v>5.3</v>
      </c>
      <c r="J87" t="n">
        <v>0</v>
      </c>
      <c r="K87" t="n">
        <v>0</v>
      </c>
      <c r="L87" t="n">
        <v>0</v>
      </c>
      <c r="M87" t="n">
        <v>0</v>
      </c>
      <c r="N87" t="n">
        <v>0</v>
      </c>
      <c r="O87" t="n">
        <v>0</v>
      </c>
      <c r="P87" t="n">
        <v>0</v>
      </c>
      <c r="Q87" t="n">
        <v>0</v>
      </c>
      <c r="R87" t="n">
        <v>0</v>
      </c>
      <c r="S87" t="n">
        <v>0</v>
      </c>
      <c r="T87" t="n">
        <v>0</v>
      </c>
      <c r="U87" s="2" t="inlineStr"/>
    </row>
    <row r="88" ht="15" customHeight="1">
      <c r="A88" t="inlineStr">
        <is>
          <t>A 35863-2023</t>
        </is>
      </c>
      <c r="B88" t="inlineStr">
        <is>
          <t>avverkningsanmälan</t>
        </is>
      </c>
      <c r="C88" t="inlineStr">
        <is>
          <t>Föryngringsavverkning</t>
        </is>
      </c>
      <c r="D88" s="1" t="n">
        <v>45148</v>
      </c>
      <c r="E88" s="1" t="n">
        <v>46220</v>
      </c>
      <c r="F88" t="inlineStr">
        <is>
          <t>VÄRMLANDS LÄN</t>
        </is>
      </c>
      <c r="G88" t="inlineStr">
        <is>
          <t>FORSHAGA</t>
        </is>
      </c>
      <c r="H88" t="inlineStr">
        <is>
          <t>Kommuner</t>
        </is>
      </c>
      <c r="I88" t="n">
        <v>1.3</v>
      </c>
      <c r="J88" t="n">
        <v>0</v>
      </c>
      <c r="K88" t="n">
        <v>0</v>
      </c>
      <c r="L88" t="n">
        <v>0</v>
      </c>
      <c r="M88" t="n">
        <v>0</v>
      </c>
      <c r="N88" t="n">
        <v>0</v>
      </c>
      <c r="O88" t="n">
        <v>0</v>
      </c>
      <c r="P88" t="n">
        <v>0</v>
      </c>
      <c r="Q88" t="n">
        <v>0</v>
      </c>
      <c r="R88" t="n">
        <v>0</v>
      </c>
      <c r="S88" t="n">
        <v>0</v>
      </c>
      <c r="T88" t="n">
        <v>0</v>
      </c>
      <c r="U88" s="2" t="inlineStr"/>
    </row>
    <row r="89" ht="15" customHeight="1">
      <c r="A89" t="inlineStr">
        <is>
          <t>A 42441-2025</t>
        </is>
      </c>
      <c r="B89" t="inlineStr">
        <is>
          <t>avverkningsanmälan</t>
        </is>
      </c>
      <c r="C89" t="inlineStr">
        <is>
          <t>Föryngringsavverkning</t>
        </is>
      </c>
      <c r="D89" s="1" t="n">
        <v>45905</v>
      </c>
      <c r="E89" s="1" t="n">
        <v>46220</v>
      </c>
      <c r="F89" t="inlineStr">
        <is>
          <t>VÄRMLANDS LÄN</t>
        </is>
      </c>
      <c r="G89" t="inlineStr">
        <is>
          <t>FORSHAGA</t>
        </is>
      </c>
      <c r="I89" t="n">
        <v>4.1</v>
      </c>
      <c r="J89" t="n">
        <v>0</v>
      </c>
      <c r="K89" t="n">
        <v>0</v>
      </c>
      <c r="L89" t="n">
        <v>0</v>
      </c>
      <c r="M89" t="n">
        <v>0</v>
      </c>
      <c r="N89" t="n">
        <v>0</v>
      </c>
      <c r="O89" t="n">
        <v>0</v>
      </c>
      <c r="P89" t="n">
        <v>0</v>
      </c>
      <c r="Q89" t="n">
        <v>0</v>
      </c>
      <c r="R89" t="n">
        <v>0</v>
      </c>
      <c r="S89" t="n">
        <v>0</v>
      </c>
      <c r="T89" t="n">
        <v>0</v>
      </c>
      <c r="U89" s="2" t="inlineStr"/>
    </row>
    <row r="90" ht="15" customHeight="1">
      <c r="A90" t="inlineStr">
        <is>
          <t>A 48647-2024</t>
        </is>
      </c>
      <c r="B90" t="inlineStr">
        <is>
          <t>avverkningsanmälan</t>
        </is>
      </c>
      <c r="C90" t="inlineStr">
        <is>
          <t>Föryngringsavverkning</t>
        </is>
      </c>
      <c r="D90" s="1" t="n">
        <v>45593</v>
      </c>
      <c r="E90" s="1" t="n">
        <v>46220</v>
      </c>
      <c r="F90" t="inlineStr">
        <is>
          <t>VÄRMLANDS LÄN</t>
        </is>
      </c>
      <c r="G90" t="inlineStr">
        <is>
          <t>FORSHAGA</t>
        </is>
      </c>
      <c r="I90" t="n">
        <v>2.2</v>
      </c>
      <c r="J90" t="n">
        <v>0</v>
      </c>
      <c r="K90" t="n">
        <v>0</v>
      </c>
      <c r="L90" t="n">
        <v>0</v>
      </c>
      <c r="M90" t="n">
        <v>0</v>
      </c>
      <c r="N90" t="n">
        <v>0</v>
      </c>
      <c r="O90" t="n">
        <v>0</v>
      </c>
      <c r="P90" t="n">
        <v>0</v>
      </c>
      <c r="Q90" t="n">
        <v>0</v>
      </c>
      <c r="R90" t="n">
        <v>0</v>
      </c>
      <c r="S90" t="n">
        <v>0</v>
      </c>
      <c r="T90" t="n">
        <v>0</v>
      </c>
      <c r="U90" s="2" t="inlineStr"/>
    </row>
    <row r="91" ht="15" customHeight="1">
      <c r="A91" t="inlineStr">
        <is>
          <t>A 14382-2023</t>
        </is>
      </c>
      <c r="B91" t="inlineStr">
        <is>
          <t>avverkningsanmälan</t>
        </is>
      </c>
      <c r="C91" t="inlineStr">
        <is>
          <t>Avverkning för annat ändamål</t>
        </is>
      </c>
      <c r="D91" s="1" t="n">
        <v>45012</v>
      </c>
      <c r="E91" s="1" t="n">
        <v>46220</v>
      </c>
      <c r="F91" t="inlineStr">
        <is>
          <t>VÄRMLANDS LÄN</t>
        </is>
      </c>
      <c r="G91" t="inlineStr">
        <is>
          <t>FORSHAGA</t>
        </is>
      </c>
      <c r="H91" t="inlineStr">
        <is>
          <t>Bergvik skog väst AB</t>
        </is>
      </c>
      <c r="I91" t="n">
        <v>2</v>
      </c>
      <c r="J91" t="n">
        <v>0</v>
      </c>
      <c r="K91" t="n">
        <v>0</v>
      </c>
      <c r="L91" t="n">
        <v>0</v>
      </c>
      <c r="M91" t="n">
        <v>0</v>
      </c>
      <c r="N91" t="n">
        <v>0</v>
      </c>
      <c r="O91" t="n">
        <v>0</v>
      </c>
      <c r="P91" t="n">
        <v>0</v>
      </c>
      <c r="Q91" t="n">
        <v>0</v>
      </c>
      <c r="R91" t="n">
        <v>0</v>
      </c>
      <c r="S91" t="n">
        <v>0</v>
      </c>
      <c r="T91" t="n">
        <v>0</v>
      </c>
      <c r="U91" s="2" t="inlineStr"/>
    </row>
    <row r="92" ht="15" customHeight="1">
      <c r="A92" t="inlineStr">
        <is>
          <t>A 42572-2025</t>
        </is>
      </c>
      <c r="B92" t="inlineStr">
        <is>
          <t>avverkningsanmälan</t>
        </is>
      </c>
      <c r="C92" t="inlineStr">
        <is>
          <t>Föryngringsavverkning</t>
        </is>
      </c>
      <c r="D92" s="1" t="n">
        <v>45905</v>
      </c>
      <c r="E92" s="1" t="n">
        <v>46220</v>
      </c>
      <c r="F92" t="inlineStr">
        <is>
          <t>VÄRMLANDS LÄN</t>
        </is>
      </c>
      <c r="G92" t="inlineStr">
        <is>
          <t>FORSHAGA</t>
        </is>
      </c>
      <c r="I92" t="n">
        <v>12.5</v>
      </c>
      <c r="J92" t="n">
        <v>0</v>
      </c>
      <c r="K92" t="n">
        <v>0</v>
      </c>
      <c r="L92" t="n">
        <v>0</v>
      </c>
      <c r="M92" t="n">
        <v>0</v>
      </c>
      <c r="N92" t="n">
        <v>0</v>
      </c>
      <c r="O92" t="n">
        <v>0</v>
      </c>
      <c r="P92" t="n">
        <v>0</v>
      </c>
      <c r="Q92" t="n">
        <v>0</v>
      </c>
      <c r="R92" t="n">
        <v>0</v>
      </c>
      <c r="S92" t="n">
        <v>0</v>
      </c>
      <c r="T92" t="n">
        <v>0</v>
      </c>
      <c r="U92" s="2" t="inlineStr"/>
    </row>
    <row r="93" ht="15" customHeight="1">
      <c r="A93" t="inlineStr">
        <is>
          <t>A 31831-2025</t>
        </is>
      </c>
      <c r="B93" t="inlineStr">
        <is>
          <t>avverkningsanmälan</t>
        </is>
      </c>
      <c r="C93" t="inlineStr">
        <is>
          <t>Föryngringsavverkning</t>
        </is>
      </c>
      <c r="D93" s="1" t="n">
        <v>45834</v>
      </c>
      <c r="E93" s="1" t="n">
        <v>46220</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s="2" t="inlineStr"/>
    </row>
    <row r="94" ht="15" customHeight="1">
      <c r="A94" t="inlineStr">
        <is>
          <t>A 31968-2025</t>
        </is>
      </c>
      <c r="B94" t="inlineStr">
        <is>
          <t>avverkningsanmälan</t>
        </is>
      </c>
      <c r="C94" t="inlineStr">
        <is>
          <t>Föryngringsavverkning</t>
        </is>
      </c>
      <c r="D94" s="1" t="n">
        <v>45835</v>
      </c>
      <c r="E94" s="1" t="n">
        <v>46220</v>
      </c>
      <c r="F94" t="inlineStr">
        <is>
          <t>VÄRMLANDS LÄN</t>
        </is>
      </c>
      <c r="G94" t="inlineStr">
        <is>
          <t>FORSHAGA</t>
        </is>
      </c>
      <c r="I94" t="n">
        <v>0.7</v>
      </c>
      <c r="J94" t="n">
        <v>0</v>
      </c>
      <c r="K94" t="n">
        <v>0</v>
      </c>
      <c r="L94" t="n">
        <v>0</v>
      </c>
      <c r="M94" t="n">
        <v>0</v>
      </c>
      <c r="N94" t="n">
        <v>0</v>
      </c>
      <c r="O94" t="n">
        <v>0</v>
      </c>
      <c r="P94" t="n">
        <v>0</v>
      </c>
      <c r="Q94" t="n">
        <v>0</v>
      </c>
      <c r="R94" t="n">
        <v>0</v>
      </c>
      <c r="S94" t="n">
        <v>0</v>
      </c>
      <c r="T94" t="n">
        <v>0</v>
      </c>
      <c r="U94" s="2" t="inlineStr"/>
    </row>
    <row r="95" ht="15" customHeight="1">
      <c r="A95" t="inlineStr">
        <is>
          <t>A 20862-2024</t>
        </is>
      </c>
      <c r="B95" t="inlineStr">
        <is>
          <t>avverkningsanmälan</t>
        </is>
      </c>
      <c r="C95" t="inlineStr">
        <is>
          <t>Föryngringsavverkning</t>
        </is>
      </c>
      <c r="D95" s="1" t="n">
        <v>45439</v>
      </c>
      <c r="E95" s="1" t="n">
        <v>46220</v>
      </c>
      <c r="F95" t="inlineStr">
        <is>
          <t>VÄRMLANDS LÄN</t>
        </is>
      </c>
      <c r="G95" t="inlineStr">
        <is>
          <t>FORSHAGA</t>
        </is>
      </c>
      <c r="I95" t="n">
        <v>9.199999999999999</v>
      </c>
      <c r="J95" t="n">
        <v>0</v>
      </c>
      <c r="K95" t="n">
        <v>0</v>
      </c>
      <c r="L95" t="n">
        <v>0</v>
      </c>
      <c r="M95" t="n">
        <v>0</v>
      </c>
      <c r="N95" t="n">
        <v>0</v>
      </c>
      <c r="O95" t="n">
        <v>0</v>
      </c>
      <c r="P95" t="n">
        <v>0</v>
      </c>
      <c r="Q95" t="n">
        <v>0</v>
      </c>
      <c r="R95" t="n">
        <v>0</v>
      </c>
      <c r="S95" t="n">
        <v>0</v>
      </c>
      <c r="T95" t="n">
        <v>0</v>
      </c>
      <c r="U95" s="2" t="inlineStr"/>
    </row>
    <row r="96" ht="15" customHeight="1">
      <c r="A96" t="inlineStr">
        <is>
          <t>A 2812-2023</t>
        </is>
      </c>
      <c r="B96" t="inlineStr">
        <is>
          <t>avverkningsanmälan</t>
        </is>
      </c>
      <c r="C96" t="inlineStr">
        <is>
          <t>Föryngringsavverkning</t>
        </is>
      </c>
      <c r="D96" s="1" t="n">
        <v>44944</v>
      </c>
      <c r="E96" s="1" t="n">
        <v>46220</v>
      </c>
      <c r="F96" t="inlineStr">
        <is>
          <t>VÄRMLANDS LÄN</t>
        </is>
      </c>
      <c r="G96" t="inlineStr">
        <is>
          <t>FORSHAGA</t>
        </is>
      </c>
      <c r="I96" t="n">
        <v>0.7</v>
      </c>
      <c r="J96" t="n">
        <v>0</v>
      </c>
      <c r="K96" t="n">
        <v>0</v>
      </c>
      <c r="L96" t="n">
        <v>0</v>
      </c>
      <c r="M96" t="n">
        <v>0</v>
      </c>
      <c r="N96" t="n">
        <v>0</v>
      </c>
      <c r="O96" t="n">
        <v>0</v>
      </c>
      <c r="P96" t="n">
        <v>0</v>
      </c>
      <c r="Q96" t="n">
        <v>0</v>
      </c>
      <c r="R96" t="n">
        <v>0</v>
      </c>
      <c r="S96" t="n">
        <v>0</v>
      </c>
      <c r="T96" t="n">
        <v>0</v>
      </c>
      <c r="U96" s="2" t="inlineStr"/>
    </row>
    <row r="97" ht="15" customHeight="1">
      <c r="A97" t="inlineStr">
        <is>
          <t>A 6909-2025</t>
        </is>
      </c>
      <c r="B97" t="inlineStr">
        <is>
          <t>avverkningsanmälan</t>
        </is>
      </c>
      <c r="C97" t="inlineStr">
        <is>
          <t>Avverkning för att bevara och utveckla /försöksver</t>
        </is>
      </c>
      <c r="D97" s="1" t="n">
        <v>45701</v>
      </c>
      <c r="E97" s="1" t="n">
        <v>46220</v>
      </c>
      <c r="F97" t="inlineStr">
        <is>
          <t>VÄRMLANDS LÄN</t>
        </is>
      </c>
      <c r="G97" t="inlineStr">
        <is>
          <t>FORSHAGA</t>
        </is>
      </c>
      <c r="H97" t="inlineStr">
        <is>
          <t>Bergvik skog väst AB</t>
        </is>
      </c>
      <c r="I97" t="n">
        <v>2</v>
      </c>
      <c r="J97" t="n">
        <v>0</v>
      </c>
      <c r="K97" t="n">
        <v>0</v>
      </c>
      <c r="L97" t="n">
        <v>0</v>
      </c>
      <c r="M97" t="n">
        <v>0</v>
      </c>
      <c r="N97" t="n">
        <v>0</v>
      </c>
      <c r="O97" t="n">
        <v>0</v>
      </c>
      <c r="P97" t="n">
        <v>0</v>
      </c>
      <c r="Q97" t="n">
        <v>0</v>
      </c>
      <c r="R97" t="n">
        <v>0</v>
      </c>
      <c r="S97" t="n">
        <v>0</v>
      </c>
      <c r="T97" t="n">
        <v>0</v>
      </c>
      <c r="U97" s="2" t="inlineStr"/>
    </row>
    <row r="98" ht="15" customHeight="1">
      <c r="A98" t="inlineStr">
        <is>
          <t>A 9693-2025</t>
        </is>
      </c>
      <c r="B98" t="inlineStr">
        <is>
          <t>avverkningsanmälan</t>
        </is>
      </c>
      <c r="C98" t="inlineStr">
        <is>
          <t>Föryngringsavverkning</t>
        </is>
      </c>
      <c r="D98" s="1" t="n">
        <v>45716</v>
      </c>
      <c r="E98" s="1" t="n">
        <v>46220</v>
      </c>
      <c r="F98" t="inlineStr">
        <is>
          <t>VÄRMLANDS LÄN</t>
        </is>
      </c>
      <c r="G98" t="inlineStr">
        <is>
          <t>FORSHAGA</t>
        </is>
      </c>
      <c r="H98" t="inlineStr">
        <is>
          <t>Bergvik skog väst AB</t>
        </is>
      </c>
      <c r="I98" t="n">
        <v>2.2</v>
      </c>
      <c r="J98" t="n">
        <v>0</v>
      </c>
      <c r="K98" t="n">
        <v>0</v>
      </c>
      <c r="L98" t="n">
        <v>0</v>
      </c>
      <c r="M98" t="n">
        <v>0</v>
      </c>
      <c r="N98" t="n">
        <v>0</v>
      </c>
      <c r="O98" t="n">
        <v>0</v>
      </c>
      <c r="P98" t="n">
        <v>0</v>
      </c>
      <c r="Q98" t="n">
        <v>0</v>
      </c>
      <c r="R98" t="n">
        <v>0</v>
      </c>
      <c r="S98" t="n">
        <v>0</v>
      </c>
      <c r="T98" t="n">
        <v>0</v>
      </c>
      <c r="U98" s="2" t="inlineStr"/>
    </row>
    <row r="99" ht="15" customHeight="1">
      <c r="A99" t="inlineStr">
        <is>
          <t>A 46868-2025</t>
        </is>
      </c>
      <c r="B99" t="inlineStr">
        <is>
          <t>avverkningsanmälan</t>
        </is>
      </c>
      <c r="C99" t="inlineStr">
        <is>
          <t>Föryngringsavverkning</t>
        </is>
      </c>
      <c r="D99" s="1" t="n">
        <v>45929</v>
      </c>
      <c r="E99" s="1" t="n">
        <v>46220</v>
      </c>
      <c r="F99" t="inlineStr">
        <is>
          <t>VÄRMLANDS LÄN</t>
        </is>
      </c>
      <c r="G99" t="inlineStr">
        <is>
          <t>FORSHAGA</t>
        </is>
      </c>
      <c r="I99" t="n">
        <v>1.8</v>
      </c>
      <c r="J99" t="n">
        <v>0</v>
      </c>
      <c r="K99" t="n">
        <v>0</v>
      </c>
      <c r="L99" t="n">
        <v>0</v>
      </c>
      <c r="M99" t="n">
        <v>0</v>
      </c>
      <c r="N99" t="n">
        <v>0</v>
      </c>
      <c r="O99" t="n">
        <v>0</v>
      </c>
      <c r="P99" t="n">
        <v>0</v>
      </c>
      <c r="Q99" t="n">
        <v>0</v>
      </c>
      <c r="R99" t="n">
        <v>0</v>
      </c>
      <c r="S99" t="n">
        <v>0</v>
      </c>
      <c r="T99" t="n">
        <v>0</v>
      </c>
      <c r="U99" s="2" t="inlineStr"/>
    </row>
    <row r="100" ht="15" customHeight="1">
      <c r="A100" t="inlineStr">
        <is>
          <t>A 6118-2024</t>
        </is>
      </c>
      <c r="B100" t="inlineStr">
        <is>
          <t>avverkningsanmälan</t>
        </is>
      </c>
      <c r="C100" t="inlineStr">
        <is>
          <t>Föryngringsavverkning</t>
        </is>
      </c>
      <c r="D100" s="1" t="n">
        <v>45337</v>
      </c>
      <c r="E100" s="1" t="n">
        <v>46220</v>
      </c>
      <c r="F100" t="inlineStr">
        <is>
          <t>VÄRMLANDS LÄN</t>
        </is>
      </c>
      <c r="G100" t="inlineStr">
        <is>
          <t>FORSHAGA</t>
        </is>
      </c>
      <c r="I100" t="n">
        <v>4.4</v>
      </c>
      <c r="J100" t="n">
        <v>0</v>
      </c>
      <c r="K100" t="n">
        <v>0</v>
      </c>
      <c r="L100" t="n">
        <v>0</v>
      </c>
      <c r="M100" t="n">
        <v>0</v>
      </c>
      <c r="N100" t="n">
        <v>0</v>
      </c>
      <c r="O100" t="n">
        <v>0</v>
      </c>
      <c r="P100" t="n">
        <v>0</v>
      </c>
      <c r="Q100" t="n">
        <v>0</v>
      </c>
      <c r="R100" t="n">
        <v>0</v>
      </c>
      <c r="S100" t="n">
        <v>0</v>
      </c>
      <c r="T100" t="n">
        <v>0</v>
      </c>
      <c r="U100" s="2" t="inlineStr"/>
    </row>
    <row r="101" ht="15" customHeight="1">
      <c r="A101" t="inlineStr">
        <is>
          <t>A 13198-2024</t>
        </is>
      </c>
      <c r="B101" t="inlineStr">
        <is>
          <t>avverkningsanmälan</t>
        </is>
      </c>
      <c r="C101" t="inlineStr">
        <is>
          <t>Föryngringsavverkning</t>
        </is>
      </c>
      <c r="D101" s="1" t="n">
        <v>45386</v>
      </c>
      <c r="E101" s="1" t="n">
        <v>46220</v>
      </c>
      <c r="F101" t="inlineStr">
        <is>
          <t>VÄRMLANDS LÄN</t>
        </is>
      </c>
      <c r="G101" t="inlineStr">
        <is>
          <t>FORSHAGA</t>
        </is>
      </c>
      <c r="I101" t="n">
        <v>4.2</v>
      </c>
      <c r="J101" t="n">
        <v>0</v>
      </c>
      <c r="K101" t="n">
        <v>0</v>
      </c>
      <c r="L101" t="n">
        <v>0</v>
      </c>
      <c r="M101" t="n">
        <v>0</v>
      </c>
      <c r="N101" t="n">
        <v>0</v>
      </c>
      <c r="O101" t="n">
        <v>0</v>
      </c>
      <c r="P101" t="n">
        <v>0</v>
      </c>
      <c r="Q101" t="n">
        <v>0</v>
      </c>
      <c r="R101" t="n">
        <v>0</v>
      </c>
      <c r="S101" t="n">
        <v>0</v>
      </c>
      <c r="T101" t="n">
        <v>0</v>
      </c>
      <c r="U101" s="2" t="inlineStr"/>
    </row>
    <row r="102" ht="15" customHeight="1">
      <c r="A102" t="inlineStr">
        <is>
          <t>A 47893-2025</t>
        </is>
      </c>
      <c r="B102" t="inlineStr">
        <is>
          <t>avverkningsanmälan</t>
        </is>
      </c>
      <c r="C102" t="inlineStr">
        <is>
          <t>Föryngringsavverkning</t>
        </is>
      </c>
      <c r="D102" s="1" t="n">
        <v>45932</v>
      </c>
      <c r="E102" s="1" t="n">
        <v>46220</v>
      </c>
      <c r="F102" t="inlineStr">
        <is>
          <t>VÄRMLANDS LÄN</t>
        </is>
      </c>
      <c r="G102" t="inlineStr">
        <is>
          <t>FORSHAGA</t>
        </is>
      </c>
      <c r="I102" t="n">
        <v>2.7</v>
      </c>
      <c r="J102" t="n">
        <v>0</v>
      </c>
      <c r="K102" t="n">
        <v>0</v>
      </c>
      <c r="L102" t="n">
        <v>0</v>
      </c>
      <c r="M102" t="n">
        <v>0</v>
      </c>
      <c r="N102" t="n">
        <v>0</v>
      </c>
      <c r="O102" t="n">
        <v>0</v>
      </c>
      <c r="P102" t="n">
        <v>0</v>
      </c>
      <c r="Q102" t="n">
        <v>0</v>
      </c>
      <c r="R102" t="n">
        <v>0</v>
      </c>
      <c r="S102" t="n">
        <v>0</v>
      </c>
      <c r="T102" t="n">
        <v>0</v>
      </c>
      <c r="U102" s="2" t="inlineStr"/>
    </row>
    <row r="103" ht="15" customHeight="1">
      <c r="A103" t="inlineStr">
        <is>
          <t>A 64121-2023</t>
        </is>
      </c>
      <c r="B103" t="inlineStr">
        <is>
          <t>avverkningsanmälan</t>
        </is>
      </c>
      <c r="C103" t="inlineStr">
        <is>
          <t>Avverkning för annat ändamål</t>
        </is>
      </c>
      <c r="D103" s="1" t="n">
        <v>45279</v>
      </c>
      <c r="E103" s="1" t="n">
        <v>46220</v>
      </c>
      <c r="F103" t="inlineStr">
        <is>
          <t>VÄRMLANDS LÄN</t>
        </is>
      </c>
      <c r="G103" t="inlineStr">
        <is>
          <t>FORSHAGA</t>
        </is>
      </c>
      <c r="I103" t="n">
        <v>0.1</v>
      </c>
      <c r="J103" t="n">
        <v>0</v>
      </c>
      <c r="K103" t="n">
        <v>0</v>
      </c>
      <c r="L103" t="n">
        <v>0</v>
      </c>
      <c r="M103" t="n">
        <v>0</v>
      </c>
      <c r="N103" t="n">
        <v>0</v>
      </c>
      <c r="O103" t="n">
        <v>0</v>
      </c>
      <c r="P103" t="n">
        <v>0</v>
      </c>
      <c r="Q103" t="n">
        <v>0</v>
      </c>
      <c r="R103" t="n">
        <v>0</v>
      </c>
      <c r="S103" t="n">
        <v>0</v>
      </c>
      <c r="T103" t="n">
        <v>0</v>
      </c>
      <c r="U103" s="2" t="inlineStr"/>
    </row>
    <row r="104" ht="15" customHeight="1">
      <c r="A104" t="inlineStr">
        <is>
          <t>A 47917-2025</t>
        </is>
      </c>
      <c r="B104" t="inlineStr">
        <is>
          <t>avverkningsanmälan</t>
        </is>
      </c>
      <c r="C104" t="inlineStr">
        <is>
          <t>Föryngringsavverkning</t>
        </is>
      </c>
      <c r="D104" s="1" t="n">
        <v>45932</v>
      </c>
      <c r="E104" s="1" t="n">
        <v>46220</v>
      </c>
      <c r="F104" t="inlineStr">
        <is>
          <t>VÄRMLANDS LÄN</t>
        </is>
      </c>
      <c r="G104" t="inlineStr">
        <is>
          <t>FORSHAGA</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47940-2025</t>
        </is>
      </c>
      <c r="B105" t="inlineStr">
        <is>
          <t>avverkningsanmälan</t>
        </is>
      </c>
      <c r="C105" t="inlineStr">
        <is>
          <t>Föryngringsavverkning</t>
        </is>
      </c>
      <c r="D105" s="1" t="n">
        <v>45932</v>
      </c>
      <c r="E105" s="1" t="n">
        <v>46220</v>
      </c>
      <c r="F105" t="inlineStr">
        <is>
          <t>VÄRMLANDS LÄN</t>
        </is>
      </c>
      <c r="G105" t="inlineStr">
        <is>
          <t>FORSHAGA</t>
        </is>
      </c>
      <c r="I105" t="n">
        <v>3</v>
      </c>
      <c r="J105" t="n">
        <v>0</v>
      </c>
      <c r="K105" t="n">
        <v>0</v>
      </c>
      <c r="L105" t="n">
        <v>0</v>
      </c>
      <c r="M105" t="n">
        <v>0</v>
      </c>
      <c r="N105" t="n">
        <v>0</v>
      </c>
      <c r="O105" t="n">
        <v>0</v>
      </c>
      <c r="P105" t="n">
        <v>0</v>
      </c>
      <c r="Q105" t="n">
        <v>0</v>
      </c>
      <c r="R105" t="n">
        <v>0</v>
      </c>
      <c r="S105" t="n">
        <v>0</v>
      </c>
      <c r="T105" t="n">
        <v>0</v>
      </c>
      <c r="U105" s="2" t="inlineStr"/>
    </row>
    <row r="106" ht="15" customHeight="1">
      <c r="A106" t="inlineStr">
        <is>
          <t>A 33218-2023</t>
        </is>
      </c>
      <c r="B106" t="inlineStr">
        <is>
          <t>avverkningsanmälan</t>
        </is>
      </c>
      <c r="C106" t="inlineStr">
        <is>
          <t>Föryngringsavverkning</t>
        </is>
      </c>
      <c r="D106" s="1" t="n">
        <v>45127</v>
      </c>
      <c r="E106" s="1" t="n">
        <v>46220</v>
      </c>
      <c r="F106" t="inlineStr">
        <is>
          <t>VÄRMLANDS LÄN</t>
        </is>
      </c>
      <c r="G106" t="inlineStr">
        <is>
          <t>FORSHAGA</t>
        </is>
      </c>
      <c r="H106" t="inlineStr">
        <is>
          <t>Kommuner</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33224-2023</t>
        </is>
      </c>
      <c r="B107" t="inlineStr">
        <is>
          <t>avverkningsanmälan</t>
        </is>
      </c>
      <c r="C107" t="inlineStr">
        <is>
          <t>Föryngringsavverkning</t>
        </is>
      </c>
      <c r="D107" s="1" t="n">
        <v>45127</v>
      </c>
      <c r="E107" s="1" t="n">
        <v>46220</v>
      </c>
      <c r="F107" t="inlineStr">
        <is>
          <t>VÄRMLANDS LÄN</t>
        </is>
      </c>
      <c r="G107" t="inlineStr">
        <is>
          <t>FORSHAGA</t>
        </is>
      </c>
      <c r="H107" t="inlineStr">
        <is>
          <t>Kommuner</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16885-2025</t>
        </is>
      </c>
      <c r="B108" t="inlineStr">
        <is>
          <t>avverkningsanmälan</t>
        </is>
      </c>
      <c r="C108" t="inlineStr">
        <is>
          <t>Föryngringsavverkning</t>
        </is>
      </c>
      <c r="D108" s="1" t="n">
        <v>45755</v>
      </c>
      <c r="E108" s="1" t="n">
        <v>46220</v>
      </c>
      <c r="F108" t="inlineStr">
        <is>
          <t>VÄRMLANDS LÄN</t>
        </is>
      </c>
      <c r="G108" t="inlineStr">
        <is>
          <t>FORSHAGA</t>
        </is>
      </c>
      <c r="I108" t="n">
        <v>7.1</v>
      </c>
      <c r="J108" t="n">
        <v>0</v>
      </c>
      <c r="K108" t="n">
        <v>0</v>
      </c>
      <c r="L108" t="n">
        <v>0</v>
      </c>
      <c r="M108" t="n">
        <v>0</v>
      </c>
      <c r="N108" t="n">
        <v>0</v>
      </c>
      <c r="O108" t="n">
        <v>0</v>
      </c>
      <c r="P108" t="n">
        <v>0</v>
      </c>
      <c r="Q108" t="n">
        <v>0</v>
      </c>
      <c r="R108" t="n">
        <v>0</v>
      </c>
      <c r="S108" t="n">
        <v>0</v>
      </c>
      <c r="T108" t="n">
        <v>0</v>
      </c>
      <c r="U108" s="2" t="inlineStr"/>
    </row>
    <row r="109" ht="15" customHeight="1">
      <c r="A109" t="inlineStr">
        <is>
          <t>A 27995-2024</t>
        </is>
      </c>
      <c r="B109" t="inlineStr">
        <is>
          <t>avverkningsanmälan</t>
        </is>
      </c>
      <c r="C109" t="inlineStr">
        <is>
          <t>Föryngringsavverkning</t>
        </is>
      </c>
      <c r="D109" s="1" t="n">
        <v>45476</v>
      </c>
      <c r="E109" s="1" t="n">
        <v>46220</v>
      </c>
      <c r="F109" t="inlineStr">
        <is>
          <t>VÄRMLANDS LÄN</t>
        </is>
      </c>
      <c r="G109" t="inlineStr">
        <is>
          <t>FORSHAGA</t>
        </is>
      </c>
      <c r="I109" t="n">
        <v>3.8</v>
      </c>
      <c r="J109" t="n">
        <v>0</v>
      </c>
      <c r="K109" t="n">
        <v>0</v>
      </c>
      <c r="L109" t="n">
        <v>0</v>
      </c>
      <c r="M109" t="n">
        <v>0</v>
      </c>
      <c r="N109" t="n">
        <v>0</v>
      </c>
      <c r="O109" t="n">
        <v>0</v>
      </c>
      <c r="P109" t="n">
        <v>0</v>
      </c>
      <c r="Q109" t="n">
        <v>0</v>
      </c>
      <c r="R109" t="n">
        <v>0</v>
      </c>
      <c r="S109" t="n">
        <v>0</v>
      </c>
      <c r="T109" t="n">
        <v>0</v>
      </c>
      <c r="U109" s="2" t="inlineStr"/>
    </row>
    <row r="110" ht="15" customHeight="1">
      <c r="A110" t="inlineStr">
        <is>
          <t>A 17135-2025</t>
        </is>
      </c>
      <c r="B110" t="inlineStr">
        <is>
          <t>avverkningsanmälan</t>
        </is>
      </c>
      <c r="C110" t="inlineStr">
        <is>
          <t>Föryngringsavverkning</t>
        </is>
      </c>
      <c r="D110" s="1" t="n">
        <v>45755</v>
      </c>
      <c r="E110" s="1" t="n">
        <v>46220</v>
      </c>
      <c r="F110" t="inlineStr">
        <is>
          <t>VÄRMLANDS LÄN</t>
        </is>
      </c>
      <c r="G110" t="inlineStr">
        <is>
          <t>FORSHAGA</t>
        </is>
      </c>
      <c r="I110" t="n">
        <v>10.3</v>
      </c>
      <c r="J110" t="n">
        <v>0</v>
      </c>
      <c r="K110" t="n">
        <v>0</v>
      </c>
      <c r="L110" t="n">
        <v>0</v>
      </c>
      <c r="M110" t="n">
        <v>0</v>
      </c>
      <c r="N110" t="n">
        <v>0</v>
      </c>
      <c r="O110" t="n">
        <v>0</v>
      </c>
      <c r="P110" t="n">
        <v>0</v>
      </c>
      <c r="Q110" t="n">
        <v>0</v>
      </c>
      <c r="R110" t="n">
        <v>0</v>
      </c>
      <c r="S110" t="n">
        <v>0</v>
      </c>
      <c r="T110" t="n">
        <v>0</v>
      </c>
      <c r="U110" s="2" t="inlineStr"/>
    </row>
    <row r="111" ht="15" customHeight="1">
      <c r="A111" t="inlineStr">
        <is>
          <t>A 9524-2024</t>
        </is>
      </c>
      <c r="B111" t="inlineStr">
        <is>
          <t>avverkningsanmälan</t>
        </is>
      </c>
      <c r="C111" t="inlineStr">
        <is>
          <t>Avverkning för annat ändamål</t>
        </is>
      </c>
      <c r="D111" s="1" t="n">
        <v>45359</v>
      </c>
      <c r="E111" s="1" t="n">
        <v>46220</v>
      </c>
      <c r="F111" t="inlineStr">
        <is>
          <t>VÄRMLANDS LÄN</t>
        </is>
      </c>
      <c r="G111" t="inlineStr">
        <is>
          <t>FORSHAGA</t>
        </is>
      </c>
      <c r="H111" t="inlineStr">
        <is>
          <t>Kommuner</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51123-2025</t>
        </is>
      </c>
      <c r="B112" t="inlineStr">
        <is>
          <t>avverkningsanmälan</t>
        </is>
      </c>
      <c r="C112" t="inlineStr">
        <is>
          <t>Föryngringsavverkning</t>
        </is>
      </c>
      <c r="D112" s="1" t="n">
        <v>45947</v>
      </c>
      <c r="E112" s="1" t="n">
        <v>46220</v>
      </c>
      <c r="F112" t="inlineStr">
        <is>
          <t>VÄRMLANDS LÄN</t>
        </is>
      </c>
      <c r="G112" t="inlineStr">
        <is>
          <t>FORSHAGA</t>
        </is>
      </c>
      <c r="I112" t="n">
        <v>3.1</v>
      </c>
      <c r="J112" t="n">
        <v>0</v>
      </c>
      <c r="K112" t="n">
        <v>0</v>
      </c>
      <c r="L112" t="n">
        <v>0</v>
      </c>
      <c r="M112" t="n">
        <v>0</v>
      </c>
      <c r="N112" t="n">
        <v>0</v>
      </c>
      <c r="O112" t="n">
        <v>0</v>
      </c>
      <c r="P112" t="n">
        <v>0</v>
      </c>
      <c r="Q112" t="n">
        <v>0</v>
      </c>
      <c r="R112" t="n">
        <v>0</v>
      </c>
      <c r="S112" t="n">
        <v>0</v>
      </c>
      <c r="T112" t="n">
        <v>0</v>
      </c>
      <c r="U112" s="2" t="inlineStr"/>
    </row>
    <row r="113" ht="15" customHeight="1">
      <c r="A113" t="inlineStr">
        <is>
          <t>A 65915-2021</t>
        </is>
      </c>
      <c r="B113" t="inlineStr">
        <is>
          <t>avverkningsanmälan</t>
        </is>
      </c>
      <c r="C113" t="inlineStr">
        <is>
          <t>Föryngringsavverkning</t>
        </is>
      </c>
      <c r="D113" s="1" t="n">
        <v>44517</v>
      </c>
      <c r="E113" s="1" t="n">
        <v>46220</v>
      </c>
      <c r="F113" t="inlineStr">
        <is>
          <t>VÄRMLANDS LÄN</t>
        </is>
      </c>
      <c r="G113" t="inlineStr">
        <is>
          <t>FORSHAGA</t>
        </is>
      </c>
      <c r="I113" t="n">
        <v>17.2</v>
      </c>
      <c r="J113" t="n">
        <v>0</v>
      </c>
      <c r="K113" t="n">
        <v>0</v>
      </c>
      <c r="L113" t="n">
        <v>0</v>
      </c>
      <c r="M113" t="n">
        <v>0</v>
      </c>
      <c r="N113" t="n">
        <v>0</v>
      </c>
      <c r="O113" t="n">
        <v>0</v>
      </c>
      <c r="P113" t="n">
        <v>0</v>
      </c>
      <c r="Q113" t="n">
        <v>0</v>
      </c>
      <c r="R113" t="n">
        <v>0</v>
      </c>
      <c r="S113" t="n">
        <v>0</v>
      </c>
      <c r="T113" t="n">
        <v>0</v>
      </c>
      <c r="U113" s="2" t="inlineStr"/>
    </row>
    <row r="114" ht="15" customHeight="1">
      <c r="A114" t="inlineStr">
        <is>
          <t>A 39407-2024</t>
        </is>
      </c>
      <c r="B114" t="inlineStr">
        <is>
          <t>avverkningsanmälan</t>
        </is>
      </c>
      <c r="C114" t="inlineStr">
        <is>
          <t>Föryngringsavverkning</t>
        </is>
      </c>
      <c r="D114" s="1" t="n">
        <v>45551</v>
      </c>
      <c r="E114" s="1" t="n">
        <v>46220</v>
      </c>
      <c r="F114" t="inlineStr">
        <is>
          <t>VÄRMLANDS LÄN</t>
        </is>
      </c>
      <c r="G114" t="inlineStr">
        <is>
          <t>FORSHAGA</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28242-2024</t>
        </is>
      </c>
      <c r="B115" t="inlineStr">
        <is>
          <t>avverkningsanmälan</t>
        </is>
      </c>
      <c r="C115" t="inlineStr">
        <is>
          <t>Föryngringsavverkning</t>
        </is>
      </c>
      <c r="D115" s="1" t="n">
        <v>45477</v>
      </c>
      <c r="E115" s="1" t="n">
        <v>46220</v>
      </c>
      <c r="F115" t="inlineStr">
        <is>
          <t>VÄRMLANDS LÄN</t>
        </is>
      </c>
      <c r="G115" t="inlineStr">
        <is>
          <t>FORSHAGA</t>
        </is>
      </c>
      <c r="I115" t="n">
        <v>2.9</v>
      </c>
      <c r="J115" t="n">
        <v>0</v>
      </c>
      <c r="K115" t="n">
        <v>0</v>
      </c>
      <c r="L115" t="n">
        <v>0</v>
      </c>
      <c r="M115" t="n">
        <v>0</v>
      </c>
      <c r="N115" t="n">
        <v>0</v>
      </c>
      <c r="O115" t="n">
        <v>0</v>
      </c>
      <c r="P115" t="n">
        <v>0</v>
      </c>
      <c r="Q115" t="n">
        <v>0</v>
      </c>
      <c r="R115" t="n">
        <v>0</v>
      </c>
      <c r="S115" t="n">
        <v>0</v>
      </c>
      <c r="T115" t="n">
        <v>0</v>
      </c>
      <c r="U115" s="2" t="inlineStr"/>
    </row>
    <row r="116" ht="15" customHeight="1">
      <c r="A116" t="inlineStr">
        <is>
          <t>A 17519-2024</t>
        </is>
      </c>
      <c r="B116" t="inlineStr">
        <is>
          <t>avverkningsanmälan</t>
        </is>
      </c>
      <c r="C116" t="inlineStr">
        <is>
          <t>Föryngringsavverkning</t>
        </is>
      </c>
      <c r="D116" s="1" t="n">
        <v>45415</v>
      </c>
      <c r="E116" s="1" t="n">
        <v>46220</v>
      </c>
      <c r="F116" t="inlineStr">
        <is>
          <t>VÄRMLANDS LÄN</t>
        </is>
      </c>
      <c r="G116" t="inlineStr">
        <is>
          <t>FORSHAGA</t>
        </is>
      </c>
      <c r="H116" t="inlineStr">
        <is>
          <t>Bergvik skog väst AB</t>
        </is>
      </c>
      <c r="I116" t="n">
        <v>4.5</v>
      </c>
      <c r="J116" t="n">
        <v>0</v>
      </c>
      <c r="K116" t="n">
        <v>0</v>
      </c>
      <c r="L116" t="n">
        <v>0</v>
      </c>
      <c r="M116" t="n">
        <v>0</v>
      </c>
      <c r="N116" t="n">
        <v>0</v>
      </c>
      <c r="O116" t="n">
        <v>0</v>
      </c>
      <c r="P116" t="n">
        <v>0</v>
      </c>
      <c r="Q116" t="n">
        <v>0</v>
      </c>
      <c r="R116" t="n">
        <v>0</v>
      </c>
      <c r="S116" t="n">
        <v>0</v>
      </c>
      <c r="T116" t="n">
        <v>0</v>
      </c>
      <c r="U116" s="2" t="inlineStr"/>
    </row>
    <row r="117" ht="15" customHeight="1">
      <c r="A117" t="inlineStr">
        <is>
          <t>A 45751-2021</t>
        </is>
      </c>
      <c r="B117" t="inlineStr">
        <is>
          <t>avverkningsanmälan</t>
        </is>
      </c>
      <c r="C117" t="inlineStr">
        <is>
          <t>Föryngringsavverkning</t>
        </is>
      </c>
      <c r="D117" s="1" t="n">
        <v>44441</v>
      </c>
      <c r="E117" s="1" t="n">
        <v>46220</v>
      </c>
      <c r="F117" t="inlineStr">
        <is>
          <t>VÄRMLANDS LÄN</t>
        </is>
      </c>
      <c r="G117" t="inlineStr">
        <is>
          <t>FORSHAGA</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42370-2025</t>
        </is>
      </c>
      <c r="B118" t="inlineStr">
        <is>
          <t>avverkningsanmälan</t>
        </is>
      </c>
      <c r="C118" t="inlineStr">
        <is>
          <t>Avverkning för annat ändamål</t>
        </is>
      </c>
      <c r="D118" s="1" t="n">
        <v>45905</v>
      </c>
      <c r="E118" s="1" t="n">
        <v>46220</v>
      </c>
      <c r="F118" t="inlineStr">
        <is>
          <t>VÄRMLANDS LÄN</t>
        </is>
      </c>
      <c r="G118" t="inlineStr">
        <is>
          <t>FORSHAGA</t>
        </is>
      </c>
      <c r="H118" t="inlineStr">
        <is>
          <t>Kommuner</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5971-2026</t>
        </is>
      </c>
      <c r="B119" t="inlineStr">
        <is>
          <t>avverkningsanmälan</t>
        </is>
      </c>
      <c r="C119" t="inlineStr">
        <is>
          <t>Föryngringsavverkning</t>
        </is>
      </c>
      <c r="D119" s="1" t="n">
        <v>46052</v>
      </c>
      <c r="E119" s="1" t="n">
        <v>46220</v>
      </c>
      <c r="F119" t="inlineStr">
        <is>
          <t>VÄRMLANDS LÄN</t>
        </is>
      </c>
      <c r="G119" t="inlineStr">
        <is>
          <t>FORSHAGA</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58688-2023</t>
        </is>
      </c>
      <c r="B120" t="inlineStr">
        <is>
          <t>avverkningsanmälan</t>
        </is>
      </c>
      <c r="C120" t="inlineStr">
        <is>
          <t>Föryngringsavverkning</t>
        </is>
      </c>
      <c r="D120" s="1" t="n">
        <v>45251</v>
      </c>
      <c r="E120" s="1" t="n">
        <v>46220</v>
      </c>
      <c r="F120" t="inlineStr">
        <is>
          <t>VÄRMLANDS LÄN</t>
        </is>
      </c>
      <c r="G120" t="inlineStr">
        <is>
          <t>FORSHAGA</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35855-2023</t>
        </is>
      </c>
      <c r="B121" t="inlineStr">
        <is>
          <t>avverkningsanmälan</t>
        </is>
      </c>
      <c r="C121" t="inlineStr">
        <is>
          <t>Föryngringsavverkning</t>
        </is>
      </c>
      <c r="D121" s="1" t="n">
        <v>45148</v>
      </c>
      <c r="E121" s="1" t="n">
        <v>46220</v>
      </c>
      <c r="F121" t="inlineStr">
        <is>
          <t>VÄRMLANDS LÄN</t>
        </is>
      </c>
      <c r="G121" t="inlineStr">
        <is>
          <t>FORSHAGA</t>
        </is>
      </c>
      <c r="H121" t="inlineStr">
        <is>
          <t>Kommuner</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32796-2023</t>
        </is>
      </c>
      <c r="B122" t="inlineStr">
        <is>
          <t>avverkningsanmälan</t>
        </is>
      </c>
      <c r="C122" t="inlineStr">
        <is>
          <t>Föryngringsavverkning</t>
        </is>
      </c>
      <c r="D122" s="1" t="n">
        <v>45124</v>
      </c>
      <c r="E122" s="1" t="n">
        <v>46220</v>
      </c>
      <c r="F122" t="inlineStr">
        <is>
          <t>VÄRMLANDS LÄN</t>
        </is>
      </c>
      <c r="G122" t="inlineStr">
        <is>
          <t>FORSHAGA</t>
        </is>
      </c>
      <c r="H122" t="inlineStr">
        <is>
          <t>Kommuner</t>
        </is>
      </c>
      <c r="I122" t="n">
        <v>5.7</v>
      </c>
      <c r="J122" t="n">
        <v>0</v>
      </c>
      <c r="K122" t="n">
        <v>0</v>
      </c>
      <c r="L122" t="n">
        <v>0</v>
      </c>
      <c r="M122" t="n">
        <v>0</v>
      </c>
      <c r="N122" t="n">
        <v>0</v>
      </c>
      <c r="O122" t="n">
        <v>0</v>
      </c>
      <c r="P122" t="n">
        <v>0</v>
      </c>
      <c r="Q122" t="n">
        <v>0</v>
      </c>
      <c r="R122" t="n">
        <v>0</v>
      </c>
      <c r="S122" t="n">
        <v>0</v>
      </c>
      <c r="T122" t="n">
        <v>0</v>
      </c>
      <c r="U122" s="2" t="inlineStr"/>
    </row>
    <row r="123" ht="15" customHeight="1">
      <c r="A123" t="inlineStr">
        <is>
          <t>A 32822-2023</t>
        </is>
      </c>
      <c r="B123" t="inlineStr">
        <is>
          <t>avverkningsanmälan</t>
        </is>
      </c>
      <c r="C123" t="inlineStr">
        <is>
          <t>Föryngringsavverkning</t>
        </is>
      </c>
      <c r="D123" s="1" t="n">
        <v>45124</v>
      </c>
      <c r="E123" s="1" t="n">
        <v>46220</v>
      </c>
      <c r="F123" t="inlineStr">
        <is>
          <t>VÄRMLANDS LÄN</t>
        </is>
      </c>
      <c r="G123" t="inlineStr">
        <is>
          <t>FORSHAGA</t>
        </is>
      </c>
      <c r="H123" t="inlineStr">
        <is>
          <t>Kommuner</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34849-2024</t>
        </is>
      </c>
      <c r="B124" t="inlineStr">
        <is>
          <t>avverkningsanmälan</t>
        </is>
      </c>
      <c r="C124" t="inlineStr">
        <is>
          <t>Avverkning för att bevara och utveckla /försöksver</t>
        </is>
      </c>
      <c r="D124" s="1" t="n">
        <v>45527</v>
      </c>
      <c r="E124" s="1" t="n">
        <v>46220</v>
      </c>
      <c r="F124" t="inlineStr">
        <is>
          <t>VÄRMLANDS LÄN</t>
        </is>
      </c>
      <c r="G124" t="inlineStr">
        <is>
          <t>FORSHAGA</t>
        </is>
      </c>
      <c r="H124" t="inlineStr">
        <is>
          <t>Bergvik skog väst AB</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55433-2025</t>
        </is>
      </c>
      <c r="B125" t="inlineStr">
        <is>
          <t>avverkningsanmälan</t>
        </is>
      </c>
      <c r="C125" t="inlineStr">
        <is>
          <t>Föryngringsavverkning</t>
        </is>
      </c>
      <c r="D125" s="1" t="n">
        <v>45971</v>
      </c>
      <c r="E125" s="1" t="n">
        <v>46220</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s="2" t="inlineStr"/>
    </row>
    <row r="126" ht="15" customHeight="1">
      <c r="A126" t="inlineStr">
        <is>
          <t>A 34886-2024</t>
        </is>
      </c>
      <c r="B126" t="inlineStr">
        <is>
          <t>avverkningsanmälan</t>
        </is>
      </c>
      <c r="C126" t="inlineStr">
        <is>
          <t>Föryngringsavverkning</t>
        </is>
      </c>
      <c r="D126" s="1" t="n">
        <v>45527</v>
      </c>
      <c r="E126" s="1" t="n">
        <v>46220</v>
      </c>
      <c r="F126" t="inlineStr">
        <is>
          <t>VÄRMLANDS LÄN</t>
        </is>
      </c>
      <c r="G126" t="inlineStr">
        <is>
          <t>FORSHAGA</t>
        </is>
      </c>
      <c r="H126" t="inlineStr">
        <is>
          <t>Bergvik skog väst AB</t>
        </is>
      </c>
      <c r="I126" t="n">
        <v>6.3</v>
      </c>
      <c r="J126" t="n">
        <v>0</v>
      </c>
      <c r="K126" t="n">
        <v>0</v>
      </c>
      <c r="L126" t="n">
        <v>0</v>
      </c>
      <c r="M126" t="n">
        <v>0</v>
      </c>
      <c r="N126" t="n">
        <v>0</v>
      </c>
      <c r="O126" t="n">
        <v>0</v>
      </c>
      <c r="P126" t="n">
        <v>0</v>
      </c>
      <c r="Q126" t="n">
        <v>0</v>
      </c>
      <c r="R126" t="n">
        <v>0</v>
      </c>
      <c r="S126" t="n">
        <v>0</v>
      </c>
      <c r="T126" t="n">
        <v>0</v>
      </c>
      <c r="U126" s="2" t="inlineStr"/>
    </row>
    <row r="127" ht="15" customHeight="1">
      <c r="A127" t="inlineStr">
        <is>
          <t>A 58121-2024</t>
        </is>
      </c>
      <c r="B127" t="inlineStr">
        <is>
          <t>avverkningsanmälan</t>
        </is>
      </c>
      <c r="C127" t="inlineStr">
        <is>
          <t>Föryngringsavverkning</t>
        </is>
      </c>
      <c r="D127" s="1" t="n">
        <v>45632</v>
      </c>
      <c r="E127" s="1" t="n">
        <v>46220</v>
      </c>
      <c r="F127" t="inlineStr">
        <is>
          <t>VÄRMLANDS LÄN</t>
        </is>
      </c>
      <c r="G127" t="inlineStr">
        <is>
          <t>FORSHAGA</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18229-2025</t>
        </is>
      </c>
      <c r="B128" t="inlineStr">
        <is>
          <t>avverkningsanmälan</t>
        </is>
      </c>
      <c r="C128" t="inlineStr">
        <is>
          <t>Föryngringsavverkning</t>
        </is>
      </c>
      <c r="D128" s="1" t="n">
        <v>45761</v>
      </c>
      <c r="E128" s="1" t="n">
        <v>46220</v>
      </c>
      <c r="F128" t="inlineStr">
        <is>
          <t>VÄRMLANDS LÄN</t>
        </is>
      </c>
      <c r="G128" t="inlineStr">
        <is>
          <t>FORSHAGA</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54170-2022</t>
        </is>
      </c>
      <c r="B129" t="inlineStr">
        <is>
          <t>avverkningsanmälan</t>
        </is>
      </c>
      <c r="C129" t="inlineStr">
        <is>
          <t>Föryngringsavverkning</t>
        </is>
      </c>
      <c r="D129" s="1" t="n">
        <v>44881</v>
      </c>
      <c r="E129" s="1" t="n">
        <v>46220</v>
      </c>
      <c r="F129" t="inlineStr">
        <is>
          <t>VÄRMLANDS LÄN</t>
        </is>
      </c>
      <c r="G129" t="inlineStr">
        <is>
          <t>FORSHAGA</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59298-2025</t>
        </is>
      </c>
      <c r="B130" t="inlineStr">
        <is>
          <t>avverkningsanmälan</t>
        </is>
      </c>
      <c r="C130" t="inlineStr">
        <is>
          <t>Föryngringsavverkning</t>
        </is>
      </c>
      <c r="D130" s="1" t="n">
        <v>45988</v>
      </c>
      <c r="E130" s="1" t="n">
        <v>46220</v>
      </c>
      <c r="F130" t="inlineStr">
        <is>
          <t>VÄRMLANDS LÄN</t>
        </is>
      </c>
      <c r="G130" t="inlineStr">
        <is>
          <t>FORSHAGA</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29427-2024</t>
        </is>
      </c>
      <c r="B131" t="inlineStr">
        <is>
          <t>avverkningsanmälan</t>
        </is>
      </c>
      <c r="C131" t="inlineStr">
        <is>
          <t>Föryngringsavverkning</t>
        </is>
      </c>
      <c r="D131" s="1" t="n">
        <v>45483</v>
      </c>
      <c r="E131" s="1" t="n">
        <v>46220</v>
      </c>
      <c r="F131" t="inlineStr">
        <is>
          <t>VÄRMLANDS LÄN</t>
        </is>
      </c>
      <c r="G131" t="inlineStr">
        <is>
          <t>FORSHAGA</t>
        </is>
      </c>
      <c r="I131" t="n">
        <v>3.7</v>
      </c>
      <c r="J131" t="n">
        <v>0</v>
      </c>
      <c r="K131" t="n">
        <v>0</v>
      </c>
      <c r="L131" t="n">
        <v>0</v>
      </c>
      <c r="M131" t="n">
        <v>0</v>
      </c>
      <c r="N131" t="n">
        <v>0</v>
      </c>
      <c r="O131" t="n">
        <v>0</v>
      </c>
      <c r="P131" t="n">
        <v>0</v>
      </c>
      <c r="Q131" t="n">
        <v>0</v>
      </c>
      <c r="R131" t="n">
        <v>0</v>
      </c>
      <c r="S131" t="n">
        <v>0</v>
      </c>
      <c r="T131" t="n">
        <v>0</v>
      </c>
      <c r="U131" s="2" t="inlineStr"/>
    </row>
    <row r="132" ht="15" customHeight="1">
      <c r="A132" t="inlineStr">
        <is>
          <t>A 15563-2022</t>
        </is>
      </c>
      <c r="B132" t="inlineStr">
        <is>
          <t>avverkningsanmälan</t>
        </is>
      </c>
      <c r="C132" t="inlineStr">
        <is>
          <t>Föryngringsavverkning</t>
        </is>
      </c>
      <c r="D132" s="1" t="n">
        <v>44662</v>
      </c>
      <c r="E132" s="1" t="n">
        <v>46220</v>
      </c>
      <c r="F132" t="inlineStr">
        <is>
          <t>VÄRMLANDS LÄN</t>
        </is>
      </c>
      <c r="G132" t="inlineStr">
        <is>
          <t>FORSHAGA</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59090-2025</t>
        </is>
      </c>
      <c r="B133" t="inlineStr">
        <is>
          <t>avverkningsanmälan</t>
        </is>
      </c>
      <c r="C133" t="inlineStr">
        <is>
          <t>Föryngringsavverkning</t>
        </is>
      </c>
      <c r="D133" s="1" t="n">
        <v>45988</v>
      </c>
      <c r="E133" s="1" t="n">
        <v>46220</v>
      </c>
      <c r="F133" t="inlineStr">
        <is>
          <t>VÄRMLANDS LÄN</t>
        </is>
      </c>
      <c r="G133" t="inlineStr">
        <is>
          <t>FORSHAGA</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59933-2025</t>
        </is>
      </c>
      <c r="B134" t="inlineStr">
        <is>
          <t>avverkningsanmälan</t>
        </is>
      </c>
      <c r="C134" t="inlineStr">
        <is>
          <t>Föryngringsavverkning</t>
        </is>
      </c>
      <c r="D134" s="1" t="n">
        <v>45993</v>
      </c>
      <c r="E134" s="1" t="n">
        <v>46220</v>
      </c>
      <c r="F134" t="inlineStr">
        <is>
          <t>VÄRMLANDS LÄN</t>
        </is>
      </c>
      <c r="G134" t="inlineStr">
        <is>
          <t>FORSHAGA</t>
        </is>
      </c>
      <c r="H134" t="inlineStr">
        <is>
          <t>Kyrkan</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59919-2025</t>
        </is>
      </c>
      <c r="B135" t="inlineStr">
        <is>
          <t>avverkningsanmälan</t>
        </is>
      </c>
      <c r="C135" t="inlineStr">
        <is>
          <t>Föryngringsavverkning</t>
        </is>
      </c>
      <c r="D135" s="1" t="n">
        <v>45993</v>
      </c>
      <c r="E135" s="1" t="n">
        <v>46220</v>
      </c>
      <c r="F135" t="inlineStr">
        <is>
          <t>VÄRMLANDS LÄN</t>
        </is>
      </c>
      <c r="G135" t="inlineStr">
        <is>
          <t>FORSHAGA</t>
        </is>
      </c>
      <c r="H135" t="inlineStr">
        <is>
          <t>Kyrkan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59955-2025</t>
        </is>
      </c>
      <c r="B136" t="inlineStr">
        <is>
          <t>avverkningsanmälan</t>
        </is>
      </c>
      <c r="C136" t="inlineStr">
        <is>
          <t>Föryngringsavverkning</t>
        </is>
      </c>
      <c r="D136" s="1" t="n">
        <v>45993</v>
      </c>
      <c r="E136" s="1" t="n">
        <v>46220</v>
      </c>
      <c r="F136" t="inlineStr">
        <is>
          <t>VÄRMLANDS LÄN</t>
        </is>
      </c>
      <c r="G136" t="inlineStr">
        <is>
          <t>FORSHAGA</t>
        </is>
      </c>
      <c r="H136" t="inlineStr">
        <is>
          <t>Kyrkan</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46300-2022</t>
        </is>
      </c>
      <c r="B137" t="inlineStr">
        <is>
          <t>avverkningsanmälan</t>
        </is>
      </c>
      <c r="C137" t="inlineStr">
        <is>
          <t>Föryngringsavverkning</t>
        </is>
      </c>
      <c r="D137" s="1" t="n">
        <v>44847</v>
      </c>
      <c r="E137" s="1" t="n">
        <v>46220</v>
      </c>
      <c r="F137" t="inlineStr">
        <is>
          <t>VÄRMLANDS LÄN</t>
        </is>
      </c>
      <c r="G137" t="inlineStr">
        <is>
          <t>FORSHAGA</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56280-2023</t>
        </is>
      </c>
      <c r="B138" t="inlineStr">
        <is>
          <t>avverkningsanmälan</t>
        </is>
      </c>
      <c r="C138" t="inlineStr">
        <is>
          <t>Föryngringsavverkning</t>
        </is>
      </c>
      <c r="D138" s="1" t="n">
        <v>45241</v>
      </c>
      <c r="E138" s="1" t="n">
        <v>46220</v>
      </c>
      <c r="F138" t="inlineStr">
        <is>
          <t>VÄRMLANDS LÄN</t>
        </is>
      </c>
      <c r="G138" t="inlineStr">
        <is>
          <t>FORSHAGA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61896-2025</t>
        </is>
      </c>
      <c r="B139" t="inlineStr">
        <is>
          <t>avverkningsanmälan</t>
        </is>
      </c>
      <c r="C139" t="inlineStr">
        <is>
          <t>Föryngringsavverkning</t>
        </is>
      </c>
      <c r="D139" s="1" t="n">
        <v>46003</v>
      </c>
      <c r="E139" s="1" t="n">
        <v>46220</v>
      </c>
      <c r="F139" t="inlineStr">
        <is>
          <t>VÄRMLANDS LÄN</t>
        </is>
      </c>
      <c r="G139" t="inlineStr">
        <is>
          <t>FORSHAGA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10989-2025</t>
        </is>
      </c>
      <c r="B140" t="inlineStr">
        <is>
          <t>avverkningsanmälan</t>
        </is>
      </c>
      <c r="C140" t="inlineStr">
        <is>
          <t>Föryngringsavverkning</t>
        </is>
      </c>
      <c r="D140" s="1" t="n">
        <v>45723</v>
      </c>
      <c r="E140" s="1" t="n">
        <v>46220</v>
      </c>
      <c r="F140" t="inlineStr">
        <is>
          <t>VÄRMLANDS LÄN</t>
        </is>
      </c>
      <c r="G140" t="inlineStr">
        <is>
          <t>FORSHAGA</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65062-2023</t>
        </is>
      </c>
      <c r="B141" t="inlineStr">
        <is>
          <t>avverkningsanmälan</t>
        </is>
      </c>
      <c r="C141" t="inlineStr">
        <is>
          <t>Föryngringsavverkning</t>
        </is>
      </c>
      <c r="D141" s="1" t="n">
        <v>45287</v>
      </c>
      <c r="E141" s="1" t="n">
        <v>46220</v>
      </c>
      <c r="F141" t="inlineStr">
        <is>
          <t>VÄRMLANDS LÄN</t>
        </is>
      </c>
      <c r="G141" t="inlineStr">
        <is>
          <t>FORSHAGA</t>
        </is>
      </c>
      <c r="H141" t="inlineStr">
        <is>
          <t>Bergvik skog väst AB</t>
        </is>
      </c>
      <c r="I141" t="n">
        <v>11.3</v>
      </c>
      <c r="J141" t="n">
        <v>0</v>
      </c>
      <c r="K141" t="n">
        <v>0</v>
      </c>
      <c r="L141" t="n">
        <v>0</v>
      </c>
      <c r="M141" t="n">
        <v>0</v>
      </c>
      <c r="N141" t="n">
        <v>0</v>
      </c>
      <c r="O141" t="n">
        <v>0</v>
      </c>
      <c r="P141" t="n">
        <v>0</v>
      </c>
      <c r="Q141" t="n">
        <v>0</v>
      </c>
      <c r="R141" t="n">
        <v>0</v>
      </c>
      <c r="S141" t="n">
        <v>0</v>
      </c>
      <c r="T141" t="n">
        <v>0</v>
      </c>
      <c r="U141" s="2" t="inlineStr"/>
    </row>
    <row r="142" ht="15" customHeight="1">
      <c r="A142" t="inlineStr">
        <is>
          <t>A 58714-2021</t>
        </is>
      </c>
      <c r="B142" t="inlineStr">
        <is>
          <t>avverkningsanmälan</t>
        </is>
      </c>
      <c r="C142" t="inlineStr">
        <is>
          <t>Föryngringsavverkning</t>
        </is>
      </c>
      <c r="D142" s="1" t="n">
        <v>44489</v>
      </c>
      <c r="E142" s="1" t="n">
        <v>46220</v>
      </c>
      <c r="F142" t="inlineStr">
        <is>
          <t>VÄRMLANDS LÄN</t>
        </is>
      </c>
      <c r="G142" t="inlineStr">
        <is>
          <t>FORSHAGA</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67617-2021</t>
        </is>
      </c>
      <c r="B143" t="inlineStr">
        <is>
          <t>avverkningsanmälan</t>
        </is>
      </c>
      <c r="C143" t="inlineStr">
        <is>
          <t>Föryngringsavverkning</t>
        </is>
      </c>
      <c r="D143" s="1" t="n">
        <v>44524</v>
      </c>
      <c r="E143" s="1" t="n">
        <v>46220</v>
      </c>
      <c r="F143" t="inlineStr">
        <is>
          <t>VÄRMLANDS LÄN</t>
        </is>
      </c>
      <c r="G143" t="inlineStr">
        <is>
          <t>FORSHAGA</t>
        </is>
      </c>
      <c r="I143" t="n">
        <v>6.5</v>
      </c>
      <c r="J143" t="n">
        <v>0</v>
      </c>
      <c r="K143" t="n">
        <v>0</v>
      </c>
      <c r="L143" t="n">
        <v>0</v>
      </c>
      <c r="M143" t="n">
        <v>0</v>
      </c>
      <c r="N143" t="n">
        <v>0</v>
      </c>
      <c r="O143" t="n">
        <v>0</v>
      </c>
      <c r="P143" t="n">
        <v>0</v>
      </c>
      <c r="Q143" t="n">
        <v>0</v>
      </c>
      <c r="R143" t="n">
        <v>0</v>
      </c>
      <c r="S143" t="n">
        <v>0</v>
      </c>
      <c r="T143" t="n">
        <v>0</v>
      </c>
      <c r="U143" s="2" t="inlineStr"/>
    </row>
    <row r="144" ht="15" customHeight="1">
      <c r="A144" t="inlineStr">
        <is>
          <t>A 21745-2024</t>
        </is>
      </c>
      <c r="B144" t="inlineStr">
        <is>
          <t>avverkningsanmälan</t>
        </is>
      </c>
      <c r="C144" t="inlineStr">
        <is>
          <t>Föryngringsavverkning</t>
        </is>
      </c>
      <c r="D144" s="1" t="n">
        <v>45442</v>
      </c>
      <c r="E144" s="1" t="n">
        <v>46220</v>
      </c>
      <c r="F144" t="inlineStr">
        <is>
          <t>VÄRMLANDS LÄN</t>
        </is>
      </c>
      <c r="G144" t="inlineStr">
        <is>
          <t>FORSHAGA</t>
        </is>
      </c>
      <c r="I144" t="n">
        <v>2.7</v>
      </c>
      <c r="J144" t="n">
        <v>0</v>
      </c>
      <c r="K144" t="n">
        <v>0</v>
      </c>
      <c r="L144" t="n">
        <v>0</v>
      </c>
      <c r="M144" t="n">
        <v>0</v>
      </c>
      <c r="N144" t="n">
        <v>0</v>
      </c>
      <c r="O144" t="n">
        <v>0</v>
      </c>
      <c r="P144" t="n">
        <v>0</v>
      </c>
      <c r="Q144" t="n">
        <v>0</v>
      </c>
      <c r="R144" t="n">
        <v>0</v>
      </c>
      <c r="S144" t="n">
        <v>0</v>
      </c>
      <c r="T144" t="n">
        <v>0</v>
      </c>
      <c r="U144" s="2" t="inlineStr"/>
    </row>
    <row r="145" ht="15" customHeight="1">
      <c r="A145" t="inlineStr">
        <is>
          <t>A 55835-2024</t>
        </is>
      </c>
      <c r="B145" t="inlineStr">
        <is>
          <t>avverkningsanmälan</t>
        </is>
      </c>
      <c r="C145" t="inlineStr">
        <is>
          <t>Föryngringsavverkning</t>
        </is>
      </c>
      <c r="D145" s="1" t="n">
        <v>45623</v>
      </c>
      <c r="E145" s="1" t="n">
        <v>46220</v>
      </c>
      <c r="F145" t="inlineStr">
        <is>
          <t>VÄRMLANDS LÄN</t>
        </is>
      </c>
      <c r="G145" t="inlineStr">
        <is>
          <t>FORSHAGA</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30859-2024</t>
        </is>
      </c>
      <c r="B146" t="inlineStr">
        <is>
          <t>avverkningsanmälan</t>
        </is>
      </c>
      <c r="C146" t="inlineStr">
        <is>
          <t>Föryngringsavverkning</t>
        </is>
      </c>
      <c r="D146" s="1" t="n">
        <v>45497</v>
      </c>
      <c r="E146" s="1" t="n">
        <v>46220</v>
      </c>
      <c r="F146" t="inlineStr">
        <is>
          <t>VÄRMLANDS LÄN</t>
        </is>
      </c>
      <c r="G146" t="inlineStr">
        <is>
          <t>FORSHAGA</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22362-2024</t>
        </is>
      </c>
      <c r="B147" t="inlineStr">
        <is>
          <t>avverkningsanmälan</t>
        </is>
      </c>
      <c r="C147" t="inlineStr">
        <is>
          <t>Föryngringsavverkning</t>
        </is>
      </c>
      <c r="D147" s="1" t="n">
        <v>45446</v>
      </c>
      <c r="E147" s="1" t="n">
        <v>46220</v>
      </c>
      <c r="F147" t="inlineStr">
        <is>
          <t>VÄRMLANDS LÄN</t>
        </is>
      </c>
      <c r="G147" t="inlineStr">
        <is>
          <t>FORSHAGA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35831-2023</t>
        </is>
      </c>
      <c r="B148" t="inlineStr">
        <is>
          <t>avverkningsanmälan</t>
        </is>
      </c>
      <c r="C148" t="inlineStr">
        <is>
          <t>Föryngringsavverkning</t>
        </is>
      </c>
      <c r="D148" s="1" t="n">
        <v>45148</v>
      </c>
      <c r="E148" s="1" t="n">
        <v>46220</v>
      </c>
      <c r="F148" t="inlineStr">
        <is>
          <t>VÄRMLANDS LÄN</t>
        </is>
      </c>
      <c r="G148" t="inlineStr">
        <is>
          <t>FORSHAGA</t>
        </is>
      </c>
      <c r="H148" t="inlineStr">
        <is>
          <t>Kommuner</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10987-2026</t>
        </is>
      </c>
      <c r="B149" t="inlineStr">
        <is>
          <t>avverkningsanmälan</t>
        </is>
      </c>
      <c r="C149" t="inlineStr">
        <is>
          <t>Föryngringsavverkning</t>
        </is>
      </c>
      <c r="D149" s="1" t="n">
        <v>46079</v>
      </c>
      <c r="E149" s="1" t="n">
        <v>46220</v>
      </c>
      <c r="F149" t="inlineStr">
        <is>
          <t>VÄRMLANDS LÄN</t>
        </is>
      </c>
      <c r="G149" t="inlineStr">
        <is>
          <t>FORSHAGA</t>
        </is>
      </c>
      <c r="H149" t="inlineStr">
        <is>
          <t>Bergvik skog väst AB</t>
        </is>
      </c>
      <c r="I149" t="n">
        <v>4.2</v>
      </c>
      <c r="J149" t="n">
        <v>0</v>
      </c>
      <c r="K149" t="n">
        <v>0</v>
      </c>
      <c r="L149" t="n">
        <v>0</v>
      </c>
      <c r="M149" t="n">
        <v>0</v>
      </c>
      <c r="N149" t="n">
        <v>0</v>
      </c>
      <c r="O149" t="n">
        <v>0</v>
      </c>
      <c r="P149" t="n">
        <v>0</v>
      </c>
      <c r="Q149" t="n">
        <v>0</v>
      </c>
      <c r="R149" t="n">
        <v>0</v>
      </c>
      <c r="S149" t="n">
        <v>0</v>
      </c>
      <c r="T149" t="n">
        <v>0</v>
      </c>
      <c r="U149" s="2" t="inlineStr"/>
    </row>
    <row r="150" ht="15" customHeight="1">
      <c r="A150" t="inlineStr">
        <is>
          <t>A 22582-2024</t>
        </is>
      </c>
      <c r="B150" t="inlineStr">
        <is>
          <t>avverkningsanmälan</t>
        </is>
      </c>
      <c r="C150" t="inlineStr">
        <is>
          <t>Avverkning för annat ändamål</t>
        </is>
      </c>
      <c r="D150" s="1" t="n">
        <v>45447</v>
      </c>
      <c r="E150" s="1" t="n">
        <v>46220</v>
      </c>
      <c r="F150" t="inlineStr">
        <is>
          <t>VÄRMLANDS LÄN</t>
        </is>
      </c>
      <c r="G150" t="inlineStr">
        <is>
          <t>FORSHAGA</t>
        </is>
      </c>
      <c r="H150" t="inlineStr">
        <is>
          <t>Bergvik skog väst AB</t>
        </is>
      </c>
      <c r="I150" t="n">
        <v>4.9</v>
      </c>
      <c r="J150" t="n">
        <v>0</v>
      </c>
      <c r="K150" t="n">
        <v>0</v>
      </c>
      <c r="L150" t="n">
        <v>0</v>
      </c>
      <c r="M150" t="n">
        <v>0</v>
      </c>
      <c r="N150" t="n">
        <v>0</v>
      </c>
      <c r="O150" t="n">
        <v>0</v>
      </c>
      <c r="P150" t="n">
        <v>0</v>
      </c>
      <c r="Q150" t="n">
        <v>0</v>
      </c>
      <c r="R150" t="n">
        <v>0</v>
      </c>
      <c r="S150" t="n">
        <v>0</v>
      </c>
      <c r="T150" t="n">
        <v>0</v>
      </c>
      <c r="U150" s="2" t="inlineStr"/>
    </row>
    <row r="151" ht="15" customHeight="1">
      <c r="A151" t="inlineStr">
        <is>
          <t>A 7297-2023</t>
        </is>
      </c>
      <c r="B151" t="inlineStr">
        <is>
          <t>avverkningsanmälan</t>
        </is>
      </c>
      <c r="C151" t="inlineStr">
        <is>
          <t>Föryngringsavverkning</t>
        </is>
      </c>
      <c r="D151" s="1" t="n">
        <v>44970</v>
      </c>
      <c r="E151" s="1" t="n">
        <v>46220</v>
      </c>
      <c r="F151" t="inlineStr">
        <is>
          <t>VÄRMLANDS LÄN</t>
        </is>
      </c>
      <c r="G151" t="inlineStr">
        <is>
          <t>FORSHAGA</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12086-2026</t>
        </is>
      </c>
      <c r="B152" t="inlineStr">
        <is>
          <t>avverkningsanmälan</t>
        </is>
      </c>
      <c r="C152" t="inlineStr">
        <is>
          <t>Avverkning för att bevara och utveckla /försöksver</t>
        </is>
      </c>
      <c r="D152" s="1" t="n">
        <v>46086</v>
      </c>
      <c r="E152" s="1" t="n">
        <v>46220</v>
      </c>
      <c r="F152" t="inlineStr">
        <is>
          <t>VÄRMLANDS LÄN</t>
        </is>
      </c>
      <c r="G152" t="inlineStr">
        <is>
          <t>FORSHAGA</t>
        </is>
      </c>
      <c r="H152" t="inlineStr">
        <is>
          <t>Bergvik skog väst AB</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15663-2024</t>
        </is>
      </c>
      <c r="B153" t="inlineStr">
        <is>
          <t>avverkningsanmälan</t>
        </is>
      </c>
      <c r="C153" t="inlineStr">
        <is>
          <t>Avverkning för annat ändamål</t>
        </is>
      </c>
      <c r="D153" s="1" t="n">
        <v>45404</v>
      </c>
      <c r="E153" s="1" t="n">
        <v>46220</v>
      </c>
      <c r="F153" t="inlineStr">
        <is>
          <t>VÄRMLANDS LÄN</t>
        </is>
      </c>
      <c r="G153" t="inlineStr">
        <is>
          <t>FORSHAGA</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1409-2025</t>
        </is>
      </c>
      <c r="B154" t="inlineStr">
        <is>
          <t>avverkningsanmälan</t>
        </is>
      </c>
      <c r="C154" t="inlineStr">
        <is>
          <t>Föryngringsavverkning</t>
        </is>
      </c>
      <c r="D154" s="1" t="n">
        <v>45667</v>
      </c>
      <c r="E154" s="1" t="n">
        <v>46220</v>
      </c>
      <c r="F154" t="inlineStr">
        <is>
          <t>VÄRMLANDS LÄN</t>
        </is>
      </c>
      <c r="G154" t="inlineStr">
        <is>
          <t>FORSHAGA</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20928-2024</t>
        </is>
      </c>
      <c r="B155" t="inlineStr">
        <is>
          <t>avverkningsanmälan</t>
        </is>
      </c>
      <c r="C155" t="inlineStr">
        <is>
          <t>Föryngringsavverkning</t>
        </is>
      </c>
      <c r="D155" s="1" t="n">
        <v>45439</v>
      </c>
      <c r="E155" s="1" t="n">
        <v>46220</v>
      </c>
      <c r="F155" t="inlineStr">
        <is>
          <t>VÄRMLANDS LÄN</t>
        </is>
      </c>
      <c r="G155" t="inlineStr">
        <is>
          <t>FORSHAGA</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20933-2024</t>
        </is>
      </c>
      <c r="B156" t="inlineStr">
        <is>
          <t>avverkningsanmälan</t>
        </is>
      </c>
      <c r="C156" t="inlineStr">
        <is>
          <t>Föryngringsavverkning</t>
        </is>
      </c>
      <c r="D156" s="1" t="n">
        <v>45439</v>
      </c>
      <c r="E156" s="1" t="n">
        <v>46220</v>
      </c>
      <c r="F156" t="inlineStr">
        <is>
          <t>VÄRMLANDS LÄN</t>
        </is>
      </c>
      <c r="G156" t="inlineStr">
        <is>
          <t>FORSHAGA</t>
        </is>
      </c>
      <c r="I156" t="n">
        <v>11.3</v>
      </c>
      <c r="J156" t="n">
        <v>0</v>
      </c>
      <c r="K156" t="n">
        <v>0</v>
      </c>
      <c r="L156" t="n">
        <v>0</v>
      </c>
      <c r="M156" t="n">
        <v>0</v>
      </c>
      <c r="N156" t="n">
        <v>0</v>
      </c>
      <c r="O156" t="n">
        <v>0</v>
      </c>
      <c r="P156" t="n">
        <v>0</v>
      </c>
      <c r="Q156" t="n">
        <v>0</v>
      </c>
      <c r="R156" t="n">
        <v>0</v>
      </c>
      <c r="S156" t="n">
        <v>0</v>
      </c>
      <c r="T156" t="n">
        <v>0</v>
      </c>
      <c r="U156" s="2" t="inlineStr"/>
    </row>
    <row r="157" ht="15" customHeight="1">
      <c r="A157" t="inlineStr">
        <is>
          <t>A 19996-2022</t>
        </is>
      </c>
      <c r="B157" t="inlineStr">
        <is>
          <t>avverkningsanmälan</t>
        </is>
      </c>
      <c r="C157" t="inlineStr">
        <is>
          <t>Föryngringsavverkning</t>
        </is>
      </c>
      <c r="D157" s="1" t="n">
        <v>44697</v>
      </c>
      <c r="E157" s="1" t="n">
        <v>46220</v>
      </c>
      <c r="F157" t="inlineStr">
        <is>
          <t>VÄRMLANDS LÄN</t>
        </is>
      </c>
      <c r="G157" t="inlineStr">
        <is>
          <t>FORSHAGA</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A 15463-2026</t>
        </is>
      </c>
      <c r="B158" t="inlineStr">
        <is>
          <t>avverkningsanmälan</t>
        </is>
      </c>
      <c r="C158" t="inlineStr">
        <is>
          <t>Föryngringsavverkning</t>
        </is>
      </c>
      <c r="D158" s="1" t="n">
        <v>46106</v>
      </c>
      <c r="E158" s="1" t="n">
        <v>46220</v>
      </c>
      <c r="F158" t="inlineStr">
        <is>
          <t>VÄRMLANDS LÄN</t>
        </is>
      </c>
      <c r="G158" t="inlineStr">
        <is>
          <t>FORSHAGA</t>
        </is>
      </c>
      <c r="H158" t="inlineStr">
        <is>
          <t>Bergvik skog väst AB</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16109-2026</t>
        </is>
      </c>
      <c r="B159" t="inlineStr">
        <is>
          <t>avverkningsanmälan</t>
        </is>
      </c>
      <c r="C159" t="inlineStr">
        <is>
          <t>Föryngringsavverkning</t>
        </is>
      </c>
      <c r="D159" s="1" t="n">
        <v>46108</v>
      </c>
      <c r="E159" s="1" t="n">
        <v>46220</v>
      </c>
      <c r="F159" t="inlineStr">
        <is>
          <t>VÄRMLANDS LÄN</t>
        </is>
      </c>
      <c r="G159" t="inlineStr">
        <is>
          <t>FORSHAGA</t>
        </is>
      </c>
      <c r="H159" t="inlineStr">
        <is>
          <t>Bergvik skog väst AB</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60045-2022</t>
        </is>
      </c>
      <c r="B160" t="inlineStr">
        <is>
          <t>avverkningsanmälan</t>
        </is>
      </c>
      <c r="C160" t="inlineStr">
        <is>
          <t>Föryngringsavverkning</t>
        </is>
      </c>
      <c r="D160" s="1" t="n">
        <v>44902</v>
      </c>
      <c r="E160" s="1" t="n">
        <v>46220</v>
      </c>
      <c r="F160" t="inlineStr">
        <is>
          <t>VÄRMLANDS LÄN</t>
        </is>
      </c>
      <c r="G160" t="inlineStr">
        <is>
          <t>FORSHAGA</t>
        </is>
      </c>
      <c r="I160" t="n">
        <v>6</v>
      </c>
      <c r="J160" t="n">
        <v>0</v>
      </c>
      <c r="K160" t="n">
        <v>0</v>
      </c>
      <c r="L160" t="n">
        <v>0</v>
      </c>
      <c r="M160" t="n">
        <v>0</v>
      </c>
      <c r="N160" t="n">
        <v>0</v>
      </c>
      <c r="O160" t="n">
        <v>0</v>
      </c>
      <c r="P160" t="n">
        <v>0</v>
      </c>
      <c r="Q160" t="n">
        <v>0</v>
      </c>
      <c r="R160" t="n">
        <v>0</v>
      </c>
      <c r="S160" t="n">
        <v>0</v>
      </c>
      <c r="T160" t="n">
        <v>0</v>
      </c>
      <c r="U160" s="2" t="inlineStr"/>
    </row>
    <row r="161" ht="15" customHeight="1">
      <c r="A161" t="inlineStr">
        <is>
          <t>A 10383-2023</t>
        </is>
      </c>
      <c r="B161" t="inlineStr">
        <is>
          <t>avverkningsanmälan</t>
        </is>
      </c>
      <c r="C161" t="inlineStr">
        <is>
          <t>Föryngringsavverkning</t>
        </is>
      </c>
      <c r="D161" s="1" t="n">
        <v>44987</v>
      </c>
      <c r="E161" s="1" t="n">
        <v>46220</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29852-2022</t>
        </is>
      </c>
      <c r="B162" t="inlineStr">
        <is>
          <t>avverkningsanmälan</t>
        </is>
      </c>
      <c r="C162" t="inlineStr">
        <is>
          <t>Föryngringsavverkning</t>
        </is>
      </c>
      <c r="D162" s="1" t="n">
        <v>44756</v>
      </c>
      <c r="E162" s="1" t="n">
        <v>46220</v>
      </c>
      <c r="F162" t="inlineStr">
        <is>
          <t>VÄRMLANDS LÄN</t>
        </is>
      </c>
      <c r="G162" t="inlineStr">
        <is>
          <t>FORSHAGA</t>
        </is>
      </c>
      <c r="I162" t="n">
        <v>5.9</v>
      </c>
      <c r="J162" t="n">
        <v>0</v>
      </c>
      <c r="K162" t="n">
        <v>0</v>
      </c>
      <c r="L162" t="n">
        <v>0</v>
      </c>
      <c r="M162" t="n">
        <v>0</v>
      </c>
      <c r="N162" t="n">
        <v>0</v>
      </c>
      <c r="O162" t="n">
        <v>0</v>
      </c>
      <c r="P162" t="n">
        <v>0</v>
      </c>
      <c r="Q162" t="n">
        <v>0</v>
      </c>
      <c r="R162" t="n">
        <v>0</v>
      </c>
      <c r="S162" t="n">
        <v>0</v>
      </c>
      <c r="T162" t="n">
        <v>0</v>
      </c>
      <c r="U162" s="2" t="inlineStr"/>
    </row>
    <row r="163" ht="15" customHeight="1">
      <c r="A163" t="inlineStr">
        <is>
          <t>A 17897-2026</t>
        </is>
      </c>
      <c r="B163" t="inlineStr">
        <is>
          <t>avverkningsanmälan</t>
        </is>
      </c>
      <c r="C163" t="inlineStr">
        <is>
          <t>Föryngringsavverkning</t>
        </is>
      </c>
      <c r="D163" s="1" t="n">
        <v>46122</v>
      </c>
      <c r="E163" s="1" t="n">
        <v>46220</v>
      </c>
      <c r="F163" t="inlineStr">
        <is>
          <t>VÄRMLANDS LÄN</t>
        </is>
      </c>
      <c r="G163" t="inlineStr">
        <is>
          <t>FORSHAGA</t>
        </is>
      </c>
      <c r="H163" t="inlineStr">
        <is>
          <t>Bergvik skog väst AB</t>
        </is>
      </c>
      <c r="I163" t="n">
        <v>8.4</v>
      </c>
      <c r="J163" t="n">
        <v>0</v>
      </c>
      <c r="K163" t="n">
        <v>0</v>
      </c>
      <c r="L163" t="n">
        <v>0</v>
      </c>
      <c r="M163" t="n">
        <v>0</v>
      </c>
      <c r="N163" t="n">
        <v>0</v>
      </c>
      <c r="O163" t="n">
        <v>0</v>
      </c>
      <c r="P163" t="n">
        <v>0</v>
      </c>
      <c r="Q163" t="n">
        <v>0</v>
      </c>
      <c r="R163" t="n">
        <v>0</v>
      </c>
      <c r="S163" t="n">
        <v>0</v>
      </c>
      <c r="T163" t="n">
        <v>0</v>
      </c>
      <c r="U163" s="2" t="inlineStr"/>
    </row>
    <row r="164" ht="15" customHeight="1">
      <c r="A164" t="inlineStr">
        <is>
          <t>A 17720-2026</t>
        </is>
      </c>
      <c r="B164" t="inlineStr">
        <is>
          <t>avverkningsanmälan</t>
        </is>
      </c>
      <c r="C164" t="inlineStr">
        <is>
          <t>Föryngringsavverkning</t>
        </is>
      </c>
      <c r="D164" s="1" t="n">
        <v>46121</v>
      </c>
      <c r="E164" s="1" t="n">
        <v>46220</v>
      </c>
      <c r="F164" t="inlineStr">
        <is>
          <t>VÄRMLANDS LÄN</t>
        </is>
      </c>
      <c r="G164" t="inlineStr">
        <is>
          <t>FORSHAGA</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18285-2026</t>
        </is>
      </c>
      <c r="B165" t="inlineStr">
        <is>
          <t>avverkningsanmälan</t>
        </is>
      </c>
      <c r="C165" t="inlineStr">
        <is>
          <t>Föryngringsavverkning</t>
        </is>
      </c>
      <c r="D165" s="1" t="n">
        <v>46126</v>
      </c>
      <c r="E165" s="1" t="n">
        <v>46220</v>
      </c>
      <c r="F165" t="inlineStr">
        <is>
          <t>VÄRMLANDS LÄN</t>
        </is>
      </c>
      <c r="G165" t="inlineStr">
        <is>
          <t>FORSHAGA</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18916-2026</t>
        </is>
      </c>
      <c r="B166" t="inlineStr">
        <is>
          <t>avverkningsanmälan</t>
        </is>
      </c>
      <c r="C166" t="inlineStr">
        <is>
          <t>Föryngringsavverkning</t>
        </is>
      </c>
      <c r="D166" s="1" t="n">
        <v>46129</v>
      </c>
      <c r="E166" s="1" t="n">
        <v>46220</v>
      </c>
      <c r="F166" t="inlineStr">
        <is>
          <t>VÄRMLANDS LÄN</t>
        </is>
      </c>
      <c r="G166" t="inlineStr">
        <is>
          <t>FORSHAGA</t>
        </is>
      </c>
      <c r="H166" t="inlineStr">
        <is>
          <t>Bergvik skog väst AB</t>
        </is>
      </c>
      <c r="I166" t="n">
        <v>5.2</v>
      </c>
      <c r="J166" t="n">
        <v>0</v>
      </c>
      <c r="K166" t="n">
        <v>0</v>
      </c>
      <c r="L166" t="n">
        <v>0</v>
      </c>
      <c r="M166" t="n">
        <v>0</v>
      </c>
      <c r="N166" t="n">
        <v>0</v>
      </c>
      <c r="O166" t="n">
        <v>0</v>
      </c>
      <c r="P166" t="n">
        <v>0</v>
      </c>
      <c r="Q166" t="n">
        <v>0</v>
      </c>
      <c r="R166" t="n">
        <v>0</v>
      </c>
      <c r="S166" t="n">
        <v>0</v>
      </c>
      <c r="T166" t="n">
        <v>0</v>
      </c>
      <c r="U166" s="2" t="inlineStr"/>
    </row>
    <row r="167" ht="15" customHeight="1">
      <c r="A167" t="inlineStr">
        <is>
          <t>A 56748-2022</t>
        </is>
      </c>
      <c r="B167" t="inlineStr">
        <is>
          <t>avverkningsanmälan</t>
        </is>
      </c>
      <c r="C167" t="inlineStr">
        <is>
          <t>Föryngringsavverkning</t>
        </is>
      </c>
      <c r="D167" s="1" t="n">
        <v>44894</v>
      </c>
      <c r="E167" s="1" t="n">
        <v>46220</v>
      </c>
      <c r="F167" t="inlineStr">
        <is>
          <t>VÄRMLANDS LÄN</t>
        </is>
      </c>
      <c r="G167" t="inlineStr">
        <is>
          <t>FORSHAGA</t>
        </is>
      </c>
      <c r="H167" t="inlineStr">
        <is>
          <t>Bergvik skog väst AB</t>
        </is>
      </c>
      <c r="I167" t="n">
        <v>8.199999999999999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55137-2023</t>
        </is>
      </c>
      <c r="B168" t="inlineStr">
        <is>
          <t>avverkningsanmälan</t>
        </is>
      </c>
      <c r="C168" t="inlineStr">
        <is>
          <t>Föryngringsavverkning</t>
        </is>
      </c>
      <c r="D168" s="1" t="n">
        <v>45237</v>
      </c>
      <c r="E168" s="1" t="n">
        <v>46220</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73264-2021</t>
        </is>
      </c>
      <c r="B169" t="inlineStr">
        <is>
          <t>avverkningsanmälan</t>
        </is>
      </c>
      <c r="C169" t="inlineStr">
        <is>
          <t>Föryngringsavverkning</t>
        </is>
      </c>
      <c r="D169" s="1" t="n">
        <v>44550</v>
      </c>
      <c r="E169" s="1" t="n">
        <v>46220</v>
      </c>
      <c r="F169" t="inlineStr">
        <is>
          <t>VÄRMLANDS LÄN</t>
        </is>
      </c>
      <c r="G169" t="inlineStr">
        <is>
          <t>FORSHAGA</t>
        </is>
      </c>
      <c r="I169" t="n">
        <v>7.9</v>
      </c>
      <c r="J169" t="n">
        <v>0</v>
      </c>
      <c r="K169" t="n">
        <v>0</v>
      </c>
      <c r="L169" t="n">
        <v>0</v>
      </c>
      <c r="M169" t="n">
        <v>0</v>
      </c>
      <c r="N169" t="n">
        <v>0</v>
      </c>
      <c r="O169" t="n">
        <v>0</v>
      </c>
      <c r="P169" t="n">
        <v>0</v>
      </c>
      <c r="Q169" t="n">
        <v>0</v>
      </c>
      <c r="R169" t="n">
        <v>0</v>
      </c>
      <c r="S169" t="n">
        <v>0</v>
      </c>
      <c r="T169" t="n">
        <v>0</v>
      </c>
      <c r="U169" s="2" t="inlineStr"/>
    </row>
    <row r="170" ht="15" customHeight="1">
      <c r="A170" t="inlineStr">
        <is>
          <t>A 73266-2021</t>
        </is>
      </c>
      <c r="B170" t="inlineStr">
        <is>
          <t>avverkningsanmälan</t>
        </is>
      </c>
      <c r="C170" t="inlineStr">
        <is>
          <t>Föryngringsavverkning</t>
        </is>
      </c>
      <c r="D170" s="1" t="n">
        <v>44550</v>
      </c>
      <c r="E170" s="1" t="n">
        <v>46220</v>
      </c>
      <c r="F170" t="inlineStr">
        <is>
          <t>VÄRMLANDS LÄN</t>
        </is>
      </c>
      <c r="G170" t="inlineStr">
        <is>
          <t>FORSHAGA</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19079-2026</t>
        </is>
      </c>
      <c r="B171" t="inlineStr">
        <is>
          <t>avverkningsanmälan</t>
        </is>
      </c>
      <c r="C171" t="inlineStr">
        <is>
          <t>Föryngringsavverkning</t>
        </is>
      </c>
      <c r="D171" s="1" t="n">
        <v>46132</v>
      </c>
      <c r="E171" s="1" t="n">
        <v>46220</v>
      </c>
      <c r="F171" t="inlineStr">
        <is>
          <t>VÄRMLANDS LÄN</t>
        </is>
      </c>
      <c r="G171" t="inlineStr">
        <is>
          <t>FORSHAGA</t>
        </is>
      </c>
      <c r="I171" t="n">
        <v>10.1</v>
      </c>
      <c r="J171" t="n">
        <v>0</v>
      </c>
      <c r="K171" t="n">
        <v>0</v>
      </c>
      <c r="L171" t="n">
        <v>0</v>
      </c>
      <c r="M171" t="n">
        <v>0</v>
      </c>
      <c r="N171" t="n">
        <v>0</v>
      </c>
      <c r="O171" t="n">
        <v>0</v>
      </c>
      <c r="P171" t="n">
        <v>0</v>
      </c>
      <c r="Q171" t="n">
        <v>0</v>
      </c>
      <c r="R171" t="n">
        <v>0</v>
      </c>
      <c r="S171" t="n">
        <v>0</v>
      </c>
      <c r="T171" t="n">
        <v>0</v>
      </c>
      <c r="U171" s="2" t="inlineStr"/>
    </row>
    <row r="172" ht="15" customHeight="1">
      <c r="A172" t="inlineStr">
        <is>
          <t>A 7299-2023</t>
        </is>
      </c>
      <c r="B172" t="inlineStr">
        <is>
          <t>avverkningsanmälan</t>
        </is>
      </c>
      <c r="C172" t="inlineStr">
        <is>
          <t>Föryngringsavverkning</t>
        </is>
      </c>
      <c r="D172" s="1" t="n">
        <v>44970</v>
      </c>
      <c r="E172" s="1" t="n">
        <v>46220</v>
      </c>
      <c r="F172" t="inlineStr">
        <is>
          <t>VÄRMLANDS LÄN</t>
        </is>
      </c>
      <c r="G172" t="inlineStr">
        <is>
          <t>FORSHAGA</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19823-2026</t>
        </is>
      </c>
      <c r="B173" t="inlineStr">
        <is>
          <t>avverkningsanmälan</t>
        </is>
      </c>
      <c r="C173" t="inlineStr">
        <is>
          <t>Föryngringsavverkning</t>
        </is>
      </c>
      <c r="D173" s="1" t="n">
        <v>46135</v>
      </c>
      <c r="E173" s="1" t="n">
        <v>46220</v>
      </c>
      <c r="F173" t="inlineStr">
        <is>
          <t>VÄRMLANDS LÄN</t>
        </is>
      </c>
      <c r="G173" t="inlineStr">
        <is>
          <t>FORSHAGA</t>
        </is>
      </c>
      <c r="I173" t="n">
        <v>2.9</v>
      </c>
      <c r="J173" t="n">
        <v>0</v>
      </c>
      <c r="K173" t="n">
        <v>0</v>
      </c>
      <c r="L173" t="n">
        <v>0</v>
      </c>
      <c r="M173" t="n">
        <v>0</v>
      </c>
      <c r="N173" t="n">
        <v>0</v>
      </c>
      <c r="O173" t="n">
        <v>0</v>
      </c>
      <c r="P173" t="n">
        <v>0</v>
      </c>
      <c r="Q173" t="n">
        <v>0</v>
      </c>
      <c r="R173" t="n">
        <v>0</v>
      </c>
      <c r="S173" t="n">
        <v>0</v>
      </c>
      <c r="T173" t="n">
        <v>0</v>
      </c>
      <c r="U173" s="2" t="inlineStr"/>
    </row>
    <row r="174" ht="15" customHeight="1">
      <c r="A174" t="inlineStr">
        <is>
          <t>A 28517-2024</t>
        </is>
      </c>
      <c r="B174" t="inlineStr">
        <is>
          <t>avverkningsanmälan</t>
        </is>
      </c>
      <c r="C174" t="inlineStr">
        <is>
          <t>Föryngringsavverkning</t>
        </is>
      </c>
      <c r="D174" s="1" t="n">
        <v>45478</v>
      </c>
      <c r="E174" s="1" t="n">
        <v>46220</v>
      </c>
      <c r="F174" t="inlineStr">
        <is>
          <t>VÄRMLANDS LÄN</t>
        </is>
      </c>
      <c r="G174" t="inlineStr">
        <is>
          <t>FORSHAGA</t>
        </is>
      </c>
      <c r="H174" t="inlineStr">
        <is>
          <t>Bergvik skog väst AB</t>
        </is>
      </c>
      <c r="I174" t="n">
        <v>4.6</v>
      </c>
      <c r="J174" t="n">
        <v>0</v>
      </c>
      <c r="K174" t="n">
        <v>0</v>
      </c>
      <c r="L174" t="n">
        <v>0</v>
      </c>
      <c r="M174" t="n">
        <v>0</v>
      </c>
      <c r="N174" t="n">
        <v>0</v>
      </c>
      <c r="O174" t="n">
        <v>0</v>
      </c>
      <c r="P174" t="n">
        <v>0</v>
      </c>
      <c r="Q174" t="n">
        <v>0</v>
      </c>
      <c r="R174" t="n">
        <v>0</v>
      </c>
      <c r="S174" t="n">
        <v>0</v>
      </c>
      <c r="T174" t="n">
        <v>0</v>
      </c>
      <c r="U174" s="2" t="inlineStr"/>
    </row>
    <row r="175" ht="15" customHeight="1">
      <c r="A175" t="inlineStr">
        <is>
          <t>A 26129-2026</t>
        </is>
      </c>
      <c r="B175" t="inlineStr">
        <is>
          <t>avverkningsanmälan</t>
        </is>
      </c>
      <c r="C175" t="inlineStr">
        <is>
          <t>Föryngringsavverkning</t>
        </is>
      </c>
      <c r="D175" s="1" t="n">
        <v>46181</v>
      </c>
      <c r="E175" s="1" t="n">
        <v>46220</v>
      </c>
      <c r="F175" t="inlineStr">
        <is>
          <t>VÄRMLANDS LÄN</t>
        </is>
      </c>
      <c r="G175" t="inlineStr">
        <is>
          <t>FORSHAGA</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18879-2026</t>
        </is>
      </c>
      <c r="B176" t="inlineStr">
        <is>
          <t>avverkningsanmälan</t>
        </is>
      </c>
      <c r="C176" t="inlineStr">
        <is>
          <t>Föryngringsavverkning</t>
        </is>
      </c>
      <c r="D176" s="1" t="n">
        <v>46129</v>
      </c>
      <c r="E176" s="1" t="n">
        <v>46220</v>
      </c>
      <c r="F176" t="inlineStr">
        <is>
          <t>VÄRMLANDS LÄN</t>
        </is>
      </c>
      <c r="G176" t="inlineStr">
        <is>
          <t>FORSHAGA</t>
        </is>
      </c>
      <c r="I176" t="n">
        <v>3</v>
      </c>
      <c r="J176" t="n">
        <v>0</v>
      </c>
      <c r="K176" t="n">
        <v>0</v>
      </c>
      <c r="L176" t="n">
        <v>0</v>
      </c>
      <c r="M176" t="n">
        <v>0</v>
      </c>
      <c r="N176" t="n">
        <v>0</v>
      </c>
      <c r="O176" t="n">
        <v>0</v>
      </c>
      <c r="P176" t="n">
        <v>0</v>
      </c>
      <c r="Q176" t="n">
        <v>0</v>
      </c>
      <c r="R176" t="n">
        <v>0</v>
      </c>
      <c r="S176" t="n">
        <v>0</v>
      </c>
      <c r="T176" t="n">
        <v>0</v>
      </c>
      <c r="U176" s="2" t="inlineStr"/>
    </row>
    <row r="177" ht="15" customHeight="1">
      <c r="A177" t="inlineStr">
        <is>
          <t>A 53678-2025</t>
        </is>
      </c>
      <c r="B177" t="inlineStr">
        <is>
          <t>avverkningsanmälan</t>
        </is>
      </c>
      <c r="C177" t="inlineStr">
        <is>
          <t>Föryngringsavverkning</t>
        </is>
      </c>
      <c r="D177" s="1" t="n">
        <v>45960</v>
      </c>
      <c r="E177" s="1" t="n">
        <v>46220</v>
      </c>
      <c r="F177" t="inlineStr">
        <is>
          <t>VÄRMLANDS LÄN</t>
        </is>
      </c>
      <c r="G177" t="inlineStr">
        <is>
          <t>FORSHAGA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14988-2024</t>
        </is>
      </c>
      <c r="B178" t="inlineStr">
        <is>
          <t>avverkningsanmälan</t>
        </is>
      </c>
      <c r="C178" t="inlineStr">
        <is>
          <t>Föryngringsavverkning</t>
        </is>
      </c>
      <c r="D178" s="1" t="n">
        <v>45399</v>
      </c>
      <c r="E178" s="1" t="n">
        <v>46220</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48630-2024</t>
        </is>
      </c>
      <c r="B179" t="inlineStr">
        <is>
          <t>avverkningsanmälan</t>
        </is>
      </c>
      <c r="C179" t="inlineStr">
        <is>
          <t>Föryngringsavverkning</t>
        </is>
      </c>
      <c r="D179" s="1" t="n">
        <v>45593</v>
      </c>
      <c r="E179" s="1" t="n">
        <v>46220</v>
      </c>
      <c r="F179" t="inlineStr">
        <is>
          <t>VÄRMLANDS LÄN</t>
        </is>
      </c>
      <c r="G179" t="inlineStr">
        <is>
          <t>FORSHAGA</t>
        </is>
      </c>
      <c r="I179" t="n">
        <v>7.5</v>
      </c>
      <c r="J179" t="n">
        <v>0</v>
      </c>
      <c r="K179" t="n">
        <v>0</v>
      </c>
      <c r="L179" t="n">
        <v>0</v>
      </c>
      <c r="M179" t="n">
        <v>0</v>
      </c>
      <c r="N179" t="n">
        <v>0</v>
      </c>
      <c r="O179" t="n">
        <v>0</v>
      </c>
      <c r="P179" t="n">
        <v>0</v>
      </c>
      <c r="Q179" t="n">
        <v>0</v>
      </c>
      <c r="R179" t="n">
        <v>0</v>
      </c>
      <c r="S179" t="n">
        <v>0</v>
      </c>
      <c r="T179" t="n">
        <v>0</v>
      </c>
      <c r="U179" s="2" t="inlineStr"/>
    </row>
    <row r="180" ht="15" customHeight="1">
      <c r="A180" t="inlineStr">
        <is>
          <t>A 62922-2023</t>
        </is>
      </c>
      <c r="B180" t="inlineStr">
        <is>
          <t>avverkningsanmälan</t>
        </is>
      </c>
      <c r="C180" t="inlineStr">
        <is>
          <t>Föryngringsavverkning</t>
        </is>
      </c>
      <c r="D180" s="1" t="n">
        <v>45272</v>
      </c>
      <c r="E180" s="1" t="n">
        <v>46220</v>
      </c>
      <c r="F180" t="inlineStr">
        <is>
          <t>VÄRMLANDS LÄN</t>
        </is>
      </c>
      <c r="G180" t="inlineStr">
        <is>
          <t>FORSHAGA</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11196-2024</t>
        </is>
      </c>
      <c r="B181" t="inlineStr">
        <is>
          <t>avverkningsanmälan</t>
        </is>
      </c>
      <c r="C181" t="inlineStr">
        <is>
          <t>Föryngringsavverkning</t>
        </is>
      </c>
      <c r="D181" s="1" t="n">
        <v>45371</v>
      </c>
      <c r="E181" s="1" t="n">
        <v>46220</v>
      </c>
      <c r="F181" t="inlineStr">
        <is>
          <t>VÄRMLANDS LÄN</t>
        </is>
      </c>
      <c r="G181" t="inlineStr">
        <is>
          <t>FORSHAGA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18811-2025</t>
        </is>
      </c>
      <c r="B182" t="inlineStr">
        <is>
          <t>avverkningsanmälan</t>
        </is>
      </c>
      <c r="C182" t="inlineStr">
        <is>
          <t>Föryngringsavverkning</t>
        </is>
      </c>
      <c r="D182" s="1" t="n">
        <v>45764</v>
      </c>
      <c r="E182" s="1" t="n">
        <v>46220</v>
      </c>
      <c r="F182" t="inlineStr">
        <is>
          <t>VÄRMLANDS LÄN</t>
        </is>
      </c>
      <c r="G182" t="inlineStr">
        <is>
          <t>FORSHAGA</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53074-2022</t>
        </is>
      </c>
      <c r="B183" t="inlineStr">
        <is>
          <t>avverkningsanmälan</t>
        </is>
      </c>
      <c r="C183" t="inlineStr">
        <is>
          <t>Föryngringsavverkning</t>
        </is>
      </c>
      <c r="D183" s="1" t="n">
        <v>44876</v>
      </c>
      <c r="E183" s="1" t="n">
        <v>46220</v>
      </c>
      <c r="F183" t="inlineStr">
        <is>
          <t>VÄRMLANDS LÄN</t>
        </is>
      </c>
      <c r="G183" t="inlineStr">
        <is>
          <t>FORSHAGA</t>
        </is>
      </c>
      <c r="I183" t="n">
        <v>5</v>
      </c>
      <c r="J183" t="n">
        <v>0</v>
      </c>
      <c r="K183" t="n">
        <v>0</v>
      </c>
      <c r="L183" t="n">
        <v>0</v>
      </c>
      <c r="M183" t="n">
        <v>0</v>
      </c>
      <c r="N183" t="n">
        <v>0</v>
      </c>
      <c r="O183" t="n">
        <v>0</v>
      </c>
      <c r="P183" t="n">
        <v>0</v>
      </c>
      <c r="Q183" t="n">
        <v>0</v>
      </c>
      <c r="R183" t="n">
        <v>0</v>
      </c>
      <c r="S183" t="n">
        <v>0</v>
      </c>
      <c r="T183" t="n">
        <v>0</v>
      </c>
      <c r="U183" s="2" t="inlineStr"/>
    </row>
    <row r="184" ht="15" customHeight="1">
      <c r="A184" t="inlineStr">
        <is>
          <t>A 35850-2023</t>
        </is>
      </c>
      <c r="B184" t="inlineStr">
        <is>
          <t>avverkningsanmälan</t>
        </is>
      </c>
      <c r="C184" t="inlineStr">
        <is>
          <t>Föryngringsavverkning</t>
        </is>
      </c>
      <c r="D184" s="1" t="n">
        <v>45148</v>
      </c>
      <c r="E184" s="1" t="n">
        <v>46220</v>
      </c>
      <c r="F184" t="inlineStr">
        <is>
          <t>VÄRMLANDS LÄN</t>
        </is>
      </c>
      <c r="G184" t="inlineStr">
        <is>
          <t>FORSHAGA</t>
        </is>
      </c>
      <c r="H184" t="inlineStr">
        <is>
          <t>Kommuner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2278-2022</t>
        </is>
      </c>
      <c r="B185" t="inlineStr">
        <is>
          <t>avverkningsanmälan</t>
        </is>
      </c>
      <c r="C185" t="inlineStr">
        <is>
          <t>Föryngringsavverkning</t>
        </is>
      </c>
      <c r="D185" s="1" t="n">
        <v>44578</v>
      </c>
      <c r="E185" s="1" t="n">
        <v>46220</v>
      </c>
      <c r="F185" t="inlineStr">
        <is>
          <t>VÄRMLANDS LÄN</t>
        </is>
      </c>
      <c r="G185" t="inlineStr">
        <is>
          <t>FORSHAGA</t>
        </is>
      </c>
      <c r="H185" t="inlineStr">
        <is>
          <t>Bergvik skog väst AB</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32680-2023</t>
        </is>
      </c>
      <c r="B186" t="inlineStr">
        <is>
          <t>avverkningsanmälan</t>
        </is>
      </c>
      <c r="C186" t="inlineStr">
        <is>
          <t>Föryngringsavverkning</t>
        </is>
      </c>
      <c r="D186" s="1" t="n">
        <v>45121</v>
      </c>
      <c r="E186" s="1" t="n">
        <v>46220</v>
      </c>
      <c r="F186" t="inlineStr">
        <is>
          <t>VÄRMLANDS LÄN</t>
        </is>
      </c>
      <c r="G186" t="inlineStr">
        <is>
          <t>FORSHAGA</t>
        </is>
      </c>
      <c r="H186" t="inlineStr">
        <is>
          <t>Kommuner</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26104-2026</t>
        </is>
      </c>
      <c r="B187" t="inlineStr">
        <is>
          <t>avverkningsanmälan</t>
        </is>
      </c>
      <c r="C187" t="inlineStr">
        <is>
          <t>Föryngringsavverkning</t>
        </is>
      </c>
      <c r="D187" s="1" t="n">
        <v>46181</v>
      </c>
      <c r="E187" s="1" t="n">
        <v>46220</v>
      </c>
      <c r="F187" t="inlineStr">
        <is>
          <t>VÄRMLANDS LÄN</t>
        </is>
      </c>
      <c r="G187" t="inlineStr">
        <is>
          <t>FORSHAGA</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61457-2022</t>
        </is>
      </c>
      <c r="B188" t="inlineStr">
        <is>
          <t>avverkningsanmälan</t>
        </is>
      </c>
      <c r="C188" t="inlineStr">
        <is>
          <t>Föryngringsavverkning</t>
        </is>
      </c>
      <c r="D188" s="1" t="n">
        <v>44916</v>
      </c>
      <c r="E188" s="1" t="n">
        <v>46220</v>
      </c>
      <c r="F188" t="inlineStr">
        <is>
          <t>VÄRMLANDS LÄN</t>
        </is>
      </c>
      <c r="G188" t="inlineStr">
        <is>
          <t>FORSHAGA</t>
        </is>
      </c>
      <c r="I188" t="n">
        <v>4.3</v>
      </c>
      <c r="J188" t="n">
        <v>0</v>
      </c>
      <c r="K188" t="n">
        <v>0</v>
      </c>
      <c r="L188" t="n">
        <v>0</v>
      </c>
      <c r="M188" t="n">
        <v>0</v>
      </c>
      <c r="N188" t="n">
        <v>0</v>
      </c>
      <c r="O188" t="n">
        <v>0</v>
      </c>
      <c r="P188" t="n">
        <v>0</v>
      </c>
      <c r="Q188" t="n">
        <v>0</v>
      </c>
      <c r="R188" t="n">
        <v>0</v>
      </c>
      <c r="S188" t="n">
        <v>0</v>
      </c>
      <c r="T188" t="n">
        <v>0</v>
      </c>
      <c r="U188" s="2" t="inlineStr"/>
    </row>
    <row r="189" ht="15" customHeight="1">
      <c r="A189" t="inlineStr">
        <is>
          <t>A 60850-2025</t>
        </is>
      </c>
      <c r="B189" t="inlineStr">
        <is>
          <t>avverkningsanmälan</t>
        </is>
      </c>
      <c r="C189" t="inlineStr">
        <is>
          <t>Föryngringsavverkning</t>
        </is>
      </c>
      <c r="D189" s="1" t="n">
        <v>45999</v>
      </c>
      <c r="E189" s="1" t="n">
        <v>46220</v>
      </c>
      <c r="F189" t="inlineStr">
        <is>
          <t>VÄRMLANDS LÄN</t>
        </is>
      </c>
      <c r="G189" t="inlineStr">
        <is>
          <t>FORSHAGA</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40968-2022</t>
        </is>
      </c>
      <c r="B190" t="inlineStr">
        <is>
          <t>avverkningsanmälan</t>
        </is>
      </c>
      <c r="C190" t="inlineStr">
        <is>
          <t>Föryngringsavverkning</t>
        </is>
      </c>
      <c r="D190" s="1" t="n">
        <v>44823</v>
      </c>
      <c r="E190" s="1" t="n">
        <v>46220</v>
      </c>
      <c r="F190" t="inlineStr">
        <is>
          <t>VÄRMLANDS LÄN</t>
        </is>
      </c>
      <c r="G190" t="inlineStr">
        <is>
          <t>FORSHAGA</t>
        </is>
      </c>
      <c r="I190" t="n">
        <v>16.5</v>
      </c>
      <c r="J190" t="n">
        <v>0</v>
      </c>
      <c r="K190" t="n">
        <v>0</v>
      </c>
      <c r="L190" t="n">
        <v>0</v>
      </c>
      <c r="M190" t="n">
        <v>0</v>
      </c>
      <c r="N190" t="n">
        <v>0</v>
      </c>
      <c r="O190" t="n">
        <v>0</v>
      </c>
      <c r="P190" t="n">
        <v>0</v>
      </c>
      <c r="Q190" t="n">
        <v>0</v>
      </c>
      <c r="R190" t="n">
        <v>0</v>
      </c>
      <c r="S190" t="n">
        <v>0</v>
      </c>
      <c r="T190" t="n">
        <v>0</v>
      </c>
      <c r="U190" s="2" t="inlineStr"/>
    </row>
    <row r="191" ht="15" customHeight="1">
      <c r="A191" t="inlineStr">
        <is>
          <t>A 12484-2022</t>
        </is>
      </c>
      <c r="B191" t="inlineStr">
        <is>
          <t>avverkningsanmälan</t>
        </is>
      </c>
      <c r="C191" t="inlineStr">
        <is>
          <t>Föryngringsavverkning</t>
        </is>
      </c>
      <c r="D191" s="1" t="n">
        <v>44638</v>
      </c>
      <c r="E191" s="1" t="n">
        <v>46220</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19069-2025</t>
        </is>
      </c>
      <c r="B192" t="inlineStr">
        <is>
          <t>avverkningsanmälan</t>
        </is>
      </c>
      <c r="C192" t="inlineStr">
        <is>
          <t>Föryngringsavverkning</t>
        </is>
      </c>
      <c r="D192" s="1" t="n">
        <v>45765</v>
      </c>
      <c r="E192" s="1" t="n">
        <v>46220</v>
      </c>
      <c r="F192" t="inlineStr">
        <is>
          <t>VÄRMLANDS LÄN</t>
        </is>
      </c>
      <c r="G192" t="inlineStr">
        <is>
          <t>FORSHAGA</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47734-2025</t>
        </is>
      </c>
      <c r="B193" t="inlineStr">
        <is>
          <t>avverkningsanmälan</t>
        </is>
      </c>
      <c r="C193" t="inlineStr">
        <is>
          <t>Föryngringsavverkning</t>
        </is>
      </c>
      <c r="D193" s="1" t="n">
        <v>45931</v>
      </c>
      <c r="E193" s="1" t="n">
        <v>46220</v>
      </c>
      <c r="F193" t="inlineStr">
        <is>
          <t>VÄRMLANDS LÄN</t>
        </is>
      </c>
      <c r="G193" t="inlineStr">
        <is>
          <t>FORSHAGA</t>
        </is>
      </c>
      <c r="H193" t="inlineStr">
        <is>
          <t>Kommuner</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61231-2022</t>
        </is>
      </c>
      <c r="B194" t="inlineStr">
        <is>
          <t>avverkningsanmälan</t>
        </is>
      </c>
      <c r="C194" t="inlineStr">
        <is>
          <t>Föryngringsavverkning</t>
        </is>
      </c>
      <c r="D194" s="1" t="n">
        <v>44915</v>
      </c>
      <c r="E194" s="1" t="n">
        <v>46220</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2818-2022</t>
        </is>
      </c>
      <c r="B195" t="inlineStr">
        <is>
          <t>avverkningsanmälan</t>
        </is>
      </c>
      <c r="C195" t="inlineStr">
        <is>
          <t>Föryngringsavverkning</t>
        </is>
      </c>
      <c r="D195" s="1" t="n">
        <v>44581</v>
      </c>
      <c r="E195" s="1" t="n">
        <v>46220</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7919-2023</t>
        </is>
      </c>
      <c r="B196" t="inlineStr">
        <is>
          <t>avverkningsanmälan</t>
        </is>
      </c>
      <c r="C196" t="inlineStr">
        <is>
          <t>Föryngringsavverkning</t>
        </is>
      </c>
      <c r="D196" s="1" t="n">
        <v>44973</v>
      </c>
      <c r="E196" s="1" t="n">
        <v>46220</v>
      </c>
      <c r="F196" t="inlineStr">
        <is>
          <t>VÄRMLANDS LÄN</t>
        </is>
      </c>
      <c r="G196" t="inlineStr">
        <is>
          <t>FORSHAGA</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33222-2023</t>
        </is>
      </c>
      <c r="B197" t="inlineStr">
        <is>
          <t>avverkningsanmälan</t>
        </is>
      </c>
      <c r="C197" t="inlineStr">
        <is>
          <t>Föryngringsavverkning</t>
        </is>
      </c>
      <c r="D197" s="1" t="n">
        <v>45127</v>
      </c>
      <c r="E197" s="1" t="n">
        <v>46220</v>
      </c>
      <c r="F197" t="inlineStr">
        <is>
          <t>VÄRMLANDS LÄN</t>
        </is>
      </c>
      <c r="G197" t="inlineStr">
        <is>
          <t>FORSHAGA</t>
        </is>
      </c>
      <c r="H197" t="inlineStr">
        <is>
          <t>Kommuner</t>
        </is>
      </c>
      <c r="I197" t="n">
        <v>5.9</v>
      </c>
      <c r="J197" t="n">
        <v>0</v>
      </c>
      <c r="K197" t="n">
        <v>0</v>
      </c>
      <c r="L197" t="n">
        <v>0</v>
      </c>
      <c r="M197" t="n">
        <v>0</v>
      </c>
      <c r="N197" t="n">
        <v>0</v>
      </c>
      <c r="O197" t="n">
        <v>0</v>
      </c>
      <c r="P197" t="n">
        <v>0</v>
      </c>
      <c r="Q197" t="n">
        <v>0</v>
      </c>
      <c r="R197" t="n">
        <v>0</v>
      </c>
      <c r="S197" t="n">
        <v>0</v>
      </c>
      <c r="T197" t="n">
        <v>0</v>
      </c>
      <c r="U197" s="2" t="inlineStr"/>
    </row>
    <row r="198" ht="15" customHeight="1">
      <c r="A198" t="inlineStr">
        <is>
          <t>A 33229-2023</t>
        </is>
      </c>
      <c r="B198" t="inlineStr">
        <is>
          <t>avverkningsanmälan</t>
        </is>
      </c>
      <c r="C198" t="inlineStr">
        <is>
          <t>Föryngringsavverkning</t>
        </is>
      </c>
      <c r="D198" s="1" t="n">
        <v>45127</v>
      </c>
      <c r="E198" s="1" t="n">
        <v>46220</v>
      </c>
      <c r="F198" t="inlineStr">
        <is>
          <t>VÄRMLANDS LÄN</t>
        </is>
      </c>
      <c r="G198" t="inlineStr">
        <is>
          <t>FORSHAGA</t>
        </is>
      </c>
      <c r="H198" t="inlineStr">
        <is>
          <t>Kommuner</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15553-2022</t>
        </is>
      </c>
      <c r="B199" t="inlineStr">
        <is>
          <t>avverkningsanmälan</t>
        </is>
      </c>
      <c r="C199" t="inlineStr">
        <is>
          <t>Föryngringsavverkning</t>
        </is>
      </c>
      <c r="D199" s="1" t="n">
        <v>44662</v>
      </c>
      <c r="E199" s="1" t="n">
        <v>46220</v>
      </c>
      <c r="F199" t="inlineStr">
        <is>
          <t>VÄRMLANDS LÄN</t>
        </is>
      </c>
      <c r="G199" t="inlineStr">
        <is>
          <t>FORSHAGA</t>
        </is>
      </c>
      <c r="I199" t="n">
        <v>7.8</v>
      </c>
      <c r="J199" t="n">
        <v>0</v>
      </c>
      <c r="K199" t="n">
        <v>0</v>
      </c>
      <c r="L199" t="n">
        <v>0</v>
      </c>
      <c r="M199" t="n">
        <v>0</v>
      </c>
      <c r="N199" t="n">
        <v>0</v>
      </c>
      <c r="O199" t="n">
        <v>0</v>
      </c>
      <c r="P199" t="n">
        <v>0</v>
      </c>
      <c r="Q199" t="n">
        <v>0</v>
      </c>
      <c r="R199" t="n">
        <v>0</v>
      </c>
      <c r="S199" t="n">
        <v>0</v>
      </c>
      <c r="T199" t="n">
        <v>0</v>
      </c>
      <c r="U199" s="2" t="inlineStr"/>
    </row>
    <row r="200" ht="15" customHeight="1">
      <c r="A200" t="inlineStr">
        <is>
          <t>A 35940-2024</t>
        </is>
      </c>
      <c r="B200" t="inlineStr">
        <is>
          <t>avverkningsanmälan</t>
        </is>
      </c>
      <c r="C200" t="inlineStr">
        <is>
          <t>Föryngringsavverkning</t>
        </is>
      </c>
      <c r="D200" s="1" t="n">
        <v>45533</v>
      </c>
      <c r="E200" s="1" t="n">
        <v>46220</v>
      </c>
      <c r="F200" t="inlineStr">
        <is>
          <t>VÄRMLANDS LÄN</t>
        </is>
      </c>
      <c r="G200" t="inlineStr">
        <is>
          <t>FORSHAGA</t>
        </is>
      </c>
      <c r="I200" t="n">
        <v>6.7</v>
      </c>
      <c r="J200" t="n">
        <v>0</v>
      </c>
      <c r="K200" t="n">
        <v>0</v>
      </c>
      <c r="L200" t="n">
        <v>0</v>
      </c>
      <c r="M200" t="n">
        <v>0</v>
      </c>
      <c r="N200" t="n">
        <v>0</v>
      </c>
      <c r="O200" t="n">
        <v>0</v>
      </c>
      <c r="P200" t="n">
        <v>0</v>
      </c>
      <c r="Q200" t="n">
        <v>0</v>
      </c>
      <c r="R200" t="n">
        <v>0</v>
      </c>
      <c r="S200" t="n">
        <v>0</v>
      </c>
      <c r="T200" t="n">
        <v>0</v>
      </c>
      <c r="U200" s="2" t="inlineStr"/>
    </row>
    <row r="201" ht="15" customHeight="1">
      <c r="A201" t="inlineStr">
        <is>
          <t>A 48590-2024</t>
        </is>
      </c>
      <c r="B201" t="inlineStr">
        <is>
          <t>avverkningsanmälan</t>
        </is>
      </c>
      <c r="C201" t="inlineStr">
        <is>
          <t>Avverkning för att bevara och utveckla /försöksver</t>
        </is>
      </c>
      <c r="D201" s="1" t="n">
        <v>45593</v>
      </c>
      <c r="E201" s="1" t="n">
        <v>46220</v>
      </c>
      <c r="F201" t="inlineStr">
        <is>
          <t>VÄRMLANDS LÄN</t>
        </is>
      </c>
      <c r="G201" t="inlineStr">
        <is>
          <t>FORSHAGA</t>
        </is>
      </c>
      <c r="H201" t="inlineStr">
        <is>
          <t>Bergvik skog väst AB</t>
        </is>
      </c>
      <c r="I201" t="n">
        <v>7.9</v>
      </c>
      <c r="J201" t="n">
        <v>0</v>
      </c>
      <c r="K201" t="n">
        <v>0</v>
      </c>
      <c r="L201" t="n">
        <v>0</v>
      </c>
      <c r="M201" t="n">
        <v>0</v>
      </c>
      <c r="N201" t="n">
        <v>0</v>
      </c>
      <c r="O201" t="n">
        <v>0</v>
      </c>
      <c r="P201" t="n">
        <v>0</v>
      </c>
      <c r="Q201" t="n">
        <v>0</v>
      </c>
      <c r="R201" t="n">
        <v>0</v>
      </c>
      <c r="S201" t="n">
        <v>0</v>
      </c>
      <c r="T201" t="n">
        <v>0</v>
      </c>
      <c r="U201" s="2" t="inlineStr"/>
    </row>
    <row r="202" ht="15" customHeight="1">
      <c r="A202" t="inlineStr">
        <is>
          <t>A 12320-2024</t>
        </is>
      </c>
      <c r="B202" t="inlineStr">
        <is>
          <t>avverkningsanmälan</t>
        </is>
      </c>
      <c r="C202" t="inlineStr">
        <is>
          <t>Avverkning för att bevara och utveckla /försöksver</t>
        </is>
      </c>
      <c r="D202" s="1" t="n">
        <v>45378</v>
      </c>
      <c r="E202" s="1" t="n">
        <v>46220</v>
      </c>
      <c r="F202" t="inlineStr">
        <is>
          <t>VÄRMLANDS LÄN</t>
        </is>
      </c>
      <c r="G202" t="inlineStr">
        <is>
          <t>FORSHAGA</t>
        </is>
      </c>
      <c r="H202" t="inlineStr">
        <is>
          <t>Bergvik skog väst AB</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53596-2024</t>
        </is>
      </c>
      <c r="B203" t="inlineStr">
        <is>
          <t>avverkningsanmälan</t>
        </is>
      </c>
      <c r="C203" t="inlineStr">
        <is>
          <t>Föryngringsavverkning</t>
        </is>
      </c>
      <c r="D203" s="1" t="n">
        <v>45614</v>
      </c>
      <c r="E203" s="1" t="n">
        <v>46220</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26325-2026</t>
        </is>
      </c>
      <c r="B204" t="inlineStr">
        <is>
          <t>avverkningsanmälan</t>
        </is>
      </c>
      <c r="C204" t="inlineStr">
        <is>
          <t>Föryngringsavverkning</t>
        </is>
      </c>
      <c r="D204" s="1" t="n">
        <v>46182</v>
      </c>
      <c r="E204" s="1" t="n">
        <v>46220</v>
      </c>
      <c r="F204" t="inlineStr">
        <is>
          <t>VÄRMLANDS LÄN</t>
        </is>
      </c>
      <c r="G204" t="inlineStr">
        <is>
          <t>FORSHAGA</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71625-2021</t>
        </is>
      </c>
      <c r="B205" t="inlineStr">
        <is>
          <t>avverkningsanmälan</t>
        </is>
      </c>
      <c r="C205" t="inlineStr">
        <is>
          <t>Föryngringsavverkning</t>
        </is>
      </c>
      <c r="D205" s="1" t="n">
        <v>44542</v>
      </c>
      <c r="E205" s="1" t="n">
        <v>46220</v>
      </c>
      <c r="F205" t="inlineStr">
        <is>
          <t>VÄRMLANDS LÄN</t>
        </is>
      </c>
      <c r="G205" t="inlineStr">
        <is>
          <t>FORSHAGA</t>
        </is>
      </c>
      <c r="I205" t="n">
        <v>4.2</v>
      </c>
      <c r="J205" t="n">
        <v>0</v>
      </c>
      <c r="K205" t="n">
        <v>0</v>
      </c>
      <c r="L205" t="n">
        <v>0</v>
      </c>
      <c r="M205" t="n">
        <v>0</v>
      </c>
      <c r="N205" t="n">
        <v>0</v>
      </c>
      <c r="O205" t="n">
        <v>0</v>
      </c>
      <c r="P205" t="n">
        <v>0</v>
      </c>
      <c r="Q205" t="n">
        <v>0</v>
      </c>
      <c r="R205" t="n">
        <v>0</v>
      </c>
      <c r="S205" t="n">
        <v>0</v>
      </c>
      <c r="T205" t="n">
        <v>0</v>
      </c>
      <c r="U205" s="2" t="inlineStr"/>
    </row>
    <row r="206" ht="15" customHeight="1">
      <c r="A206" t="inlineStr">
        <is>
          <t>A 24036-2023</t>
        </is>
      </c>
      <c r="B206" t="inlineStr">
        <is>
          <t>avverkningsanmälan</t>
        </is>
      </c>
      <c r="C206" t="inlineStr">
        <is>
          <t>Föryngringsavverkning</t>
        </is>
      </c>
      <c r="D206" s="1" t="n">
        <v>45078</v>
      </c>
      <c r="E206" s="1" t="n">
        <v>46220</v>
      </c>
      <c r="F206" t="inlineStr">
        <is>
          <t>VÄRMLANDS LÄN</t>
        </is>
      </c>
      <c r="G206" t="inlineStr">
        <is>
          <t>FORSHAGA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21106-2026</t>
        </is>
      </c>
      <c r="B207" t="inlineStr">
        <is>
          <t>avverkningsanmälan</t>
        </is>
      </c>
      <c r="C207" t="inlineStr">
        <is>
          <t>Föryngringsavverkning</t>
        </is>
      </c>
      <c r="D207" s="1" t="n">
        <v>46146</v>
      </c>
      <c r="E207" s="1" t="n">
        <v>46220</v>
      </c>
      <c r="F207" t="inlineStr">
        <is>
          <t>VÄRMLANDS LÄN</t>
        </is>
      </c>
      <c r="G207" t="inlineStr">
        <is>
          <t>FORSHAGA</t>
        </is>
      </c>
      <c r="H207" t="inlineStr">
        <is>
          <t>Bergvik skog väst AB</t>
        </is>
      </c>
      <c r="I207" t="n">
        <v>8.1</v>
      </c>
      <c r="J207" t="n">
        <v>0</v>
      </c>
      <c r="K207" t="n">
        <v>0</v>
      </c>
      <c r="L207" t="n">
        <v>0</v>
      </c>
      <c r="M207" t="n">
        <v>0</v>
      </c>
      <c r="N207" t="n">
        <v>0</v>
      </c>
      <c r="O207" t="n">
        <v>0</v>
      </c>
      <c r="P207" t="n">
        <v>0</v>
      </c>
      <c r="Q207" t="n">
        <v>0</v>
      </c>
      <c r="R207" t="n">
        <v>0</v>
      </c>
      <c r="S207" t="n">
        <v>0</v>
      </c>
      <c r="T207" t="n">
        <v>0</v>
      </c>
      <c r="U207" s="2" t="inlineStr"/>
    </row>
    <row r="208" ht="15" customHeight="1">
      <c r="A208" t="inlineStr">
        <is>
          <t>A 21081-2026</t>
        </is>
      </c>
      <c r="B208" t="inlineStr">
        <is>
          <t>avverkningsanmälan</t>
        </is>
      </c>
      <c r="C208" t="inlineStr">
        <is>
          <t>Föryngringsavverkning</t>
        </is>
      </c>
      <c r="D208" s="1" t="n">
        <v>46146</v>
      </c>
      <c r="E208" s="1" t="n">
        <v>46220</v>
      </c>
      <c r="F208" t="inlineStr">
        <is>
          <t>VÄRMLANDS LÄN</t>
        </is>
      </c>
      <c r="G208" t="inlineStr">
        <is>
          <t>FORSHAGA</t>
        </is>
      </c>
      <c r="H208" t="inlineStr">
        <is>
          <t>Bergvik skog väst AB</t>
        </is>
      </c>
      <c r="I208" t="n">
        <v>14.8</v>
      </c>
      <c r="J208" t="n">
        <v>0</v>
      </c>
      <c r="K208" t="n">
        <v>0</v>
      </c>
      <c r="L208" t="n">
        <v>0</v>
      </c>
      <c r="M208" t="n">
        <v>0</v>
      </c>
      <c r="N208" t="n">
        <v>0</v>
      </c>
      <c r="O208" t="n">
        <v>0</v>
      </c>
      <c r="P208" t="n">
        <v>0</v>
      </c>
      <c r="Q208" t="n">
        <v>0</v>
      </c>
      <c r="R208" t="n">
        <v>0</v>
      </c>
      <c r="S208" t="n">
        <v>0</v>
      </c>
      <c r="T208" t="n">
        <v>0</v>
      </c>
      <c r="U208" s="2" t="inlineStr"/>
    </row>
    <row r="209" ht="15" customHeight="1">
      <c r="A209" t="inlineStr">
        <is>
          <t>A 21137-2026</t>
        </is>
      </c>
      <c r="B209" t="inlineStr">
        <is>
          <t>avverkningsanmälan</t>
        </is>
      </c>
      <c r="C209" t="inlineStr">
        <is>
          <t>Föryngringsavverkning</t>
        </is>
      </c>
      <c r="D209" s="1" t="n">
        <v>46146</v>
      </c>
      <c r="E209" s="1" t="n">
        <v>46220</v>
      </c>
      <c r="F209" t="inlineStr">
        <is>
          <t>VÄRMLANDS LÄN</t>
        </is>
      </c>
      <c r="G209" t="inlineStr">
        <is>
          <t>FORSHAGA</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32830-2023</t>
        </is>
      </c>
      <c r="B210" t="inlineStr">
        <is>
          <t>avverkningsanmälan</t>
        </is>
      </c>
      <c r="C210" t="inlineStr">
        <is>
          <t>Föryngringsavverkning</t>
        </is>
      </c>
      <c r="D210" s="1" t="n">
        <v>45124</v>
      </c>
      <c r="E210" s="1" t="n">
        <v>46220</v>
      </c>
      <c r="F210" t="inlineStr">
        <is>
          <t>VÄRMLANDS LÄN</t>
        </is>
      </c>
      <c r="G210" t="inlineStr">
        <is>
          <t>FORSHAGA</t>
        </is>
      </c>
      <c r="H210" t="inlineStr">
        <is>
          <t>Kommuner</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27075-2026</t>
        </is>
      </c>
      <c r="B211" t="inlineStr">
        <is>
          <t>avverkningsanmälan</t>
        </is>
      </c>
      <c r="C211" t="inlineStr">
        <is>
          <t>Föryngringsavverkning</t>
        </is>
      </c>
      <c r="D211" s="1" t="n">
        <v>46186</v>
      </c>
      <c r="E211" s="1" t="n">
        <v>46220</v>
      </c>
      <c r="F211" t="inlineStr">
        <is>
          <t>VÄRMLANDS LÄN</t>
        </is>
      </c>
      <c r="G211" t="inlineStr">
        <is>
          <t>FORSHAGA</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29231-2023</t>
        </is>
      </c>
      <c r="B212" t="inlineStr">
        <is>
          <t>avverkningsanmälan</t>
        </is>
      </c>
      <c r="C212" t="inlineStr">
        <is>
          <t>Föryngringsavverkning</t>
        </is>
      </c>
      <c r="D212" s="1" t="n">
        <v>45105</v>
      </c>
      <c r="E212" s="1" t="n">
        <v>46220</v>
      </c>
      <c r="F212" t="inlineStr">
        <is>
          <t>VÄRMLANDS LÄN</t>
        </is>
      </c>
      <c r="G212" t="inlineStr">
        <is>
          <t>FORSHAGA</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27252-2026</t>
        </is>
      </c>
      <c r="B213" t="inlineStr">
        <is>
          <t>avverkningsanmälan</t>
        </is>
      </c>
      <c r="C213" t="inlineStr">
        <is>
          <t>Föryngringsavverkning</t>
        </is>
      </c>
      <c r="D213" s="1" t="n">
        <v>46188</v>
      </c>
      <c r="E213" s="1" t="n">
        <v>46220</v>
      </c>
      <c r="F213" t="inlineStr">
        <is>
          <t>VÄRMLANDS LÄN</t>
        </is>
      </c>
      <c r="G213" t="inlineStr">
        <is>
          <t>FORSHAGA</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27076-2026</t>
        </is>
      </c>
      <c r="B214" t="inlineStr">
        <is>
          <t>avverkningsanmälan</t>
        </is>
      </c>
      <c r="C214" t="inlineStr">
        <is>
          <t>Föryngringsavverkning</t>
        </is>
      </c>
      <c r="D214" s="1" t="n">
        <v>46186</v>
      </c>
      <c r="E214" s="1" t="n">
        <v>46220</v>
      </c>
      <c r="F214" t="inlineStr">
        <is>
          <t>VÄRMLANDS LÄN</t>
        </is>
      </c>
      <c r="G214" t="inlineStr">
        <is>
          <t>FORSHAGA</t>
        </is>
      </c>
      <c r="I214" t="n">
        <v>1.3</v>
      </c>
      <c r="J214" t="n">
        <v>0</v>
      </c>
      <c r="K214" t="n">
        <v>0</v>
      </c>
      <c r="L214" t="n">
        <v>0</v>
      </c>
      <c r="M214" t="n">
        <v>0</v>
      </c>
      <c r="N214" t="n">
        <v>0</v>
      </c>
      <c r="O214" t="n">
        <v>0</v>
      </c>
      <c r="P214" t="n">
        <v>0</v>
      </c>
      <c r="Q214" t="n">
        <v>0</v>
      </c>
      <c r="R214" t="n">
        <v>0</v>
      </c>
      <c r="S214" t="n">
        <v>0</v>
      </c>
      <c r="T214" t="n">
        <v>0</v>
      </c>
      <c r="U214" s="2" t="inlineStr"/>
    </row>
    <row r="215" ht="15" customHeight="1">
      <c r="A215" t="inlineStr">
        <is>
          <t>A 60893-2025</t>
        </is>
      </c>
      <c r="B215" t="inlineStr">
        <is>
          <t>avverkningsanmälan</t>
        </is>
      </c>
      <c r="C215" t="inlineStr">
        <is>
          <t>Föryngringsavverkning</t>
        </is>
      </c>
      <c r="D215" s="1" t="n">
        <v>45999</v>
      </c>
      <c r="E215" s="1" t="n">
        <v>46220</v>
      </c>
      <c r="F215" t="inlineStr">
        <is>
          <t>VÄRMLANDS LÄN</t>
        </is>
      </c>
      <c r="G215" t="inlineStr">
        <is>
          <t>FORSHAGA</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21146-2026</t>
        </is>
      </c>
      <c r="B216" t="inlineStr">
        <is>
          <t>avverkningsanmälan</t>
        </is>
      </c>
      <c r="C216" t="inlineStr">
        <is>
          <t>Föryngringsavverkning</t>
        </is>
      </c>
      <c r="D216" s="1" t="n">
        <v>46146</v>
      </c>
      <c r="E216" s="1" t="n">
        <v>46220</v>
      </c>
      <c r="F216" t="inlineStr">
        <is>
          <t>VÄRMLANDS LÄN</t>
        </is>
      </c>
      <c r="G216" t="inlineStr">
        <is>
          <t>FORSHAGA</t>
        </is>
      </c>
      <c r="I216" t="n">
        <v>2.4</v>
      </c>
      <c r="J216" t="n">
        <v>0</v>
      </c>
      <c r="K216" t="n">
        <v>0</v>
      </c>
      <c r="L216" t="n">
        <v>0</v>
      </c>
      <c r="M216" t="n">
        <v>0</v>
      </c>
      <c r="N216" t="n">
        <v>0</v>
      </c>
      <c r="O216" t="n">
        <v>0</v>
      </c>
      <c r="P216" t="n">
        <v>0</v>
      </c>
      <c r="Q216" t="n">
        <v>0</v>
      </c>
      <c r="R216" t="n">
        <v>0</v>
      </c>
      <c r="S216" t="n">
        <v>0</v>
      </c>
      <c r="T216" t="n">
        <v>0</v>
      </c>
      <c r="U216" s="2" t="inlineStr"/>
    </row>
    <row r="217" ht="15" customHeight="1">
      <c r="A217" t="inlineStr">
        <is>
          <t>A 27080-2026</t>
        </is>
      </c>
      <c r="B217" t="inlineStr">
        <is>
          <t>avverkningsanmälan</t>
        </is>
      </c>
      <c r="C217" t="inlineStr">
        <is>
          <t>Föryngringsavverkning</t>
        </is>
      </c>
      <c r="D217" s="1" t="n">
        <v>46186</v>
      </c>
      <c r="E217" s="1" t="n">
        <v>46220</v>
      </c>
      <c r="F217" t="inlineStr">
        <is>
          <t>VÄRMLANDS LÄN</t>
        </is>
      </c>
      <c r="G217" t="inlineStr">
        <is>
          <t>FORSHAGA</t>
        </is>
      </c>
      <c r="I217" t="n">
        <v>5.4</v>
      </c>
      <c r="J217" t="n">
        <v>0</v>
      </c>
      <c r="K217" t="n">
        <v>0</v>
      </c>
      <c r="L217" t="n">
        <v>0</v>
      </c>
      <c r="M217" t="n">
        <v>0</v>
      </c>
      <c r="N217" t="n">
        <v>0</v>
      </c>
      <c r="O217" t="n">
        <v>0</v>
      </c>
      <c r="P217" t="n">
        <v>0</v>
      </c>
      <c r="Q217" t="n">
        <v>0</v>
      </c>
      <c r="R217" t="n">
        <v>0</v>
      </c>
      <c r="S217" t="n">
        <v>0</v>
      </c>
      <c r="T217" t="n">
        <v>0</v>
      </c>
      <c r="U217" s="2" t="inlineStr"/>
    </row>
    <row r="218" ht="15" customHeight="1">
      <c r="A218" t="inlineStr">
        <is>
          <t>A 25008-2023</t>
        </is>
      </c>
      <c r="B218" t="inlineStr">
        <is>
          <t>avverkningsanmälan</t>
        </is>
      </c>
      <c r="C218" t="inlineStr">
        <is>
          <t>Föryngringsavverkning</t>
        </is>
      </c>
      <c r="D218" s="1" t="n">
        <v>45085</v>
      </c>
      <c r="E218" s="1" t="n">
        <v>46220</v>
      </c>
      <c r="F218" t="inlineStr">
        <is>
          <t>VÄRMLANDS LÄN</t>
        </is>
      </c>
      <c r="G218" t="inlineStr">
        <is>
          <t>FORSHAGA</t>
        </is>
      </c>
      <c r="I218" t="n">
        <v>3.2</v>
      </c>
      <c r="J218" t="n">
        <v>0</v>
      </c>
      <c r="K218" t="n">
        <v>0</v>
      </c>
      <c r="L218" t="n">
        <v>0</v>
      </c>
      <c r="M218" t="n">
        <v>0</v>
      </c>
      <c r="N218" t="n">
        <v>0</v>
      </c>
      <c r="O218" t="n">
        <v>0</v>
      </c>
      <c r="P218" t="n">
        <v>0</v>
      </c>
      <c r="Q218" t="n">
        <v>0</v>
      </c>
      <c r="R218" t="n">
        <v>0</v>
      </c>
      <c r="S218" t="n">
        <v>0</v>
      </c>
      <c r="T218" t="n">
        <v>0</v>
      </c>
      <c r="U218" s="2" t="inlineStr"/>
    </row>
    <row r="219" ht="15" customHeight="1">
      <c r="A219" t="inlineStr">
        <is>
          <t>A 38261-2022</t>
        </is>
      </c>
      <c r="B219" t="inlineStr">
        <is>
          <t>avverkningsanmälan</t>
        </is>
      </c>
      <c r="C219" t="inlineStr">
        <is>
          <t>Föryngringsavverkning</t>
        </is>
      </c>
      <c r="D219" s="1" t="n">
        <v>44812</v>
      </c>
      <c r="E219" s="1" t="n">
        <v>46220</v>
      </c>
      <c r="F219" t="inlineStr">
        <is>
          <t>VÄRMLANDS LÄN</t>
        </is>
      </c>
      <c r="G219" t="inlineStr">
        <is>
          <t>FORSHAGA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34786-2024</t>
        </is>
      </c>
      <c r="B220" t="inlineStr">
        <is>
          <t>avverkningsanmälan</t>
        </is>
      </c>
      <c r="C220" t="inlineStr">
        <is>
          <t>Föryngringsavverkning</t>
        </is>
      </c>
      <c r="D220" s="1" t="n">
        <v>45526</v>
      </c>
      <c r="E220" s="1" t="n">
        <v>46220</v>
      </c>
      <c r="F220" t="inlineStr">
        <is>
          <t>VÄRMLANDS LÄN</t>
        </is>
      </c>
      <c r="G220" t="inlineStr">
        <is>
          <t>FORSHAGA</t>
        </is>
      </c>
      <c r="H220" t="inlineStr">
        <is>
          <t>Bergvik skog väst AB</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21634-2026</t>
        </is>
      </c>
      <c r="B221" t="inlineStr">
        <is>
          <t>avverkningsanmälan</t>
        </is>
      </c>
      <c r="C221" t="inlineStr">
        <is>
          <t>Föryngringsavverkning</t>
        </is>
      </c>
      <c r="D221" s="1" t="n">
        <v>46149</v>
      </c>
      <c r="E221" s="1" t="n">
        <v>46220</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33219-2023</t>
        </is>
      </c>
      <c r="B222" t="inlineStr">
        <is>
          <t>avverkningsanmälan</t>
        </is>
      </c>
      <c r="C222" t="inlineStr">
        <is>
          <t>Föryngringsavverkning</t>
        </is>
      </c>
      <c r="D222" s="1" t="n">
        <v>45127</v>
      </c>
      <c r="E222" s="1" t="n">
        <v>46220</v>
      </c>
      <c r="F222" t="inlineStr">
        <is>
          <t>VÄRMLANDS LÄN</t>
        </is>
      </c>
      <c r="G222" t="inlineStr">
        <is>
          <t>FORSHAGA</t>
        </is>
      </c>
      <c r="H222" t="inlineStr">
        <is>
          <t>Kommuner</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22192-2026</t>
        </is>
      </c>
      <c r="B223" t="inlineStr">
        <is>
          <t>avverkningsanmälan</t>
        </is>
      </c>
      <c r="C223" t="inlineStr">
        <is>
          <t>Föryngringsavverkning</t>
        </is>
      </c>
      <c r="D223" s="1" t="n">
        <v>46153</v>
      </c>
      <c r="E223" s="1" t="n">
        <v>46220</v>
      </c>
      <c r="F223" t="inlineStr">
        <is>
          <t>VÄRMLANDS LÄN</t>
        </is>
      </c>
      <c r="G223" t="inlineStr">
        <is>
          <t>FORSHAGA</t>
        </is>
      </c>
      <c r="I223" t="n">
        <v>7.5</v>
      </c>
      <c r="J223" t="n">
        <v>0</v>
      </c>
      <c r="K223" t="n">
        <v>0</v>
      </c>
      <c r="L223" t="n">
        <v>0</v>
      </c>
      <c r="M223" t="n">
        <v>0</v>
      </c>
      <c r="N223" t="n">
        <v>0</v>
      </c>
      <c r="O223" t="n">
        <v>0</v>
      </c>
      <c r="P223" t="n">
        <v>0</v>
      </c>
      <c r="Q223" t="n">
        <v>0</v>
      </c>
      <c r="R223" t="n">
        <v>0</v>
      </c>
      <c r="S223" t="n">
        <v>0</v>
      </c>
      <c r="T223" t="n">
        <v>0</v>
      </c>
      <c r="U223" s="2" t="inlineStr"/>
    </row>
    <row r="224" ht="15" customHeight="1">
      <c r="A224" t="inlineStr">
        <is>
          <t>A 22222-2026</t>
        </is>
      </c>
      <c r="B224" t="inlineStr">
        <is>
          <t>avverkningsanmälan</t>
        </is>
      </c>
      <c r="C224" t="inlineStr">
        <is>
          <t>Föryngringsavverkning</t>
        </is>
      </c>
      <c r="D224" s="1" t="n">
        <v>46153</v>
      </c>
      <c r="E224" s="1" t="n">
        <v>46220</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22221-2026</t>
        </is>
      </c>
      <c r="B225" t="inlineStr">
        <is>
          <t>avverkningsanmälan</t>
        </is>
      </c>
      <c r="C225" t="inlineStr">
        <is>
          <t>Föryngringsavverkning</t>
        </is>
      </c>
      <c r="D225" s="1" t="n">
        <v>46153</v>
      </c>
      <c r="E225" s="1" t="n">
        <v>46220</v>
      </c>
      <c r="F225" t="inlineStr">
        <is>
          <t>VÄRMLANDS LÄN</t>
        </is>
      </c>
      <c r="G225" t="inlineStr">
        <is>
          <t>FORSHAGA</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63318-2023</t>
        </is>
      </c>
      <c r="B226" t="inlineStr">
        <is>
          <t>avverkningsanmälan</t>
        </is>
      </c>
      <c r="C226" t="inlineStr">
        <is>
          <t>Föryngringsavverkning</t>
        </is>
      </c>
      <c r="D226" s="1" t="n">
        <v>45274</v>
      </c>
      <c r="E226" s="1" t="n">
        <v>46220</v>
      </c>
      <c r="F226" t="inlineStr">
        <is>
          <t>VÄRMLANDS LÄN</t>
        </is>
      </c>
      <c r="G226" t="inlineStr">
        <is>
          <t>FORSHAGA</t>
        </is>
      </c>
      <c r="I226" t="n">
        <v>5</v>
      </c>
      <c r="J226" t="n">
        <v>0</v>
      </c>
      <c r="K226" t="n">
        <v>0</v>
      </c>
      <c r="L226" t="n">
        <v>0</v>
      </c>
      <c r="M226" t="n">
        <v>0</v>
      </c>
      <c r="N226" t="n">
        <v>0</v>
      </c>
      <c r="O226" t="n">
        <v>0</v>
      </c>
      <c r="P226" t="n">
        <v>0</v>
      </c>
      <c r="Q226" t="n">
        <v>0</v>
      </c>
      <c r="R226" t="n">
        <v>0</v>
      </c>
      <c r="S226" t="n">
        <v>0</v>
      </c>
      <c r="T226" t="n">
        <v>0</v>
      </c>
      <c r="U226" s="2" t="inlineStr"/>
    </row>
    <row r="227" ht="15" customHeight="1">
      <c r="A227" t="inlineStr">
        <is>
          <t>A 8399-2025</t>
        </is>
      </c>
      <c r="B227" t="inlineStr">
        <is>
          <t>avverkningsanmälan</t>
        </is>
      </c>
      <c r="C227" t="inlineStr">
        <is>
          <t>Avverkning för att bevara och utveckla /försöksver</t>
        </is>
      </c>
      <c r="D227" s="1" t="n">
        <v>45709</v>
      </c>
      <c r="E227" s="1" t="n">
        <v>46220</v>
      </c>
      <c r="F227" t="inlineStr">
        <is>
          <t>VÄRMLANDS LÄN</t>
        </is>
      </c>
      <c r="G227" t="inlineStr">
        <is>
          <t>FORSHAGA</t>
        </is>
      </c>
      <c r="H227" t="inlineStr">
        <is>
          <t>Bergvik skog väst AB</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21836-2025</t>
        </is>
      </c>
      <c r="B228" t="inlineStr">
        <is>
          <t>avverkningsanmälan</t>
        </is>
      </c>
      <c r="C228" t="inlineStr">
        <is>
          <t>Föryngringsavverkning</t>
        </is>
      </c>
      <c r="D228" s="1" t="n">
        <v>45784</v>
      </c>
      <c r="E228" s="1" t="n">
        <v>46220</v>
      </c>
      <c r="F228" t="inlineStr">
        <is>
          <t>VÄRMLANDS LÄN</t>
        </is>
      </c>
      <c r="G228" t="inlineStr">
        <is>
          <t>FORSHAGA</t>
        </is>
      </c>
      <c r="I228" t="n">
        <v>4.2</v>
      </c>
      <c r="J228" t="n">
        <v>0</v>
      </c>
      <c r="K228" t="n">
        <v>0</v>
      </c>
      <c r="L228" t="n">
        <v>0</v>
      </c>
      <c r="M228" t="n">
        <v>0</v>
      </c>
      <c r="N228" t="n">
        <v>0</v>
      </c>
      <c r="O228" t="n">
        <v>0</v>
      </c>
      <c r="P228" t="n">
        <v>0</v>
      </c>
      <c r="Q228" t="n">
        <v>0</v>
      </c>
      <c r="R228" t="n">
        <v>0</v>
      </c>
      <c r="S228" t="n">
        <v>0</v>
      </c>
      <c r="T228" t="n">
        <v>0</v>
      </c>
      <c r="U228" s="2" t="inlineStr"/>
    </row>
    <row r="229" ht="15" customHeight="1">
      <c r="A229" t="inlineStr">
        <is>
          <t>A 55249-2023</t>
        </is>
      </c>
      <c r="B229" t="inlineStr">
        <is>
          <t>avverkningsanmälan</t>
        </is>
      </c>
      <c r="C229" t="inlineStr">
        <is>
          <t>Föryngringsavverkning</t>
        </is>
      </c>
      <c r="D229" s="1" t="n">
        <v>45237</v>
      </c>
      <c r="E229" s="1" t="n">
        <v>46220</v>
      </c>
      <c r="F229" t="inlineStr">
        <is>
          <t>VÄRMLANDS LÄN</t>
        </is>
      </c>
      <c r="G229" t="inlineStr">
        <is>
          <t>FORSHAGA</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29265-2026</t>
        </is>
      </c>
      <c r="B230" t="inlineStr">
        <is>
          <t>avverkningsanmälan</t>
        </is>
      </c>
      <c r="C230" t="inlineStr">
        <is>
          <t>Föryngringsavverkning</t>
        </is>
      </c>
      <c r="D230" s="1" t="n">
        <v>46202</v>
      </c>
      <c r="E230" s="1" t="n">
        <v>46220</v>
      </c>
      <c r="F230" t="inlineStr">
        <is>
          <t>VÄRMLANDS LÄN</t>
        </is>
      </c>
      <c r="G230" t="inlineStr">
        <is>
          <t>FORSHAGA</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28321-2023</t>
        </is>
      </c>
      <c r="B231" t="inlineStr">
        <is>
          <t>avverkningsanmälan</t>
        </is>
      </c>
      <c r="C231" t="inlineStr">
        <is>
          <t>Föryngringsavverkning</t>
        </is>
      </c>
      <c r="D231" s="1" t="n">
        <v>45099</v>
      </c>
      <c r="E231" s="1" t="n">
        <v>46220</v>
      </c>
      <c r="F231" t="inlineStr">
        <is>
          <t>VÄRMLANDS LÄN</t>
        </is>
      </c>
      <c r="G231" t="inlineStr">
        <is>
          <t>FORSHAGA</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29116-2026</t>
        </is>
      </c>
      <c r="B232" t="inlineStr">
        <is>
          <t>avverkningsanmälan</t>
        </is>
      </c>
      <c r="C232" t="inlineStr">
        <is>
          <t>Föryngringsavverkning</t>
        </is>
      </c>
      <c r="D232" s="1" t="n">
        <v>46201</v>
      </c>
      <c r="E232" s="1" t="n">
        <v>46220</v>
      </c>
      <c r="F232" t="inlineStr">
        <is>
          <t>VÄRMLANDS LÄN</t>
        </is>
      </c>
      <c r="G232" t="inlineStr">
        <is>
          <t>FORSHAGA</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23505-2026</t>
        </is>
      </c>
      <c r="B233" t="inlineStr">
        <is>
          <t>avverkningsanmälan</t>
        </is>
      </c>
      <c r="C233" t="inlineStr">
        <is>
          <t>Föryngringsavverkning</t>
        </is>
      </c>
      <c r="D233" s="1" t="n">
        <v>46163</v>
      </c>
      <c r="E233" s="1" t="n">
        <v>46220</v>
      </c>
      <c r="F233" t="inlineStr">
        <is>
          <t>VÄRMLANDS LÄN</t>
        </is>
      </c>
      <c r="G233" t="inlineStr">
        <is>
          <t>FORSHAGA</t>
        </is>
      </c>
      <c r="H233" t="inlineStr">
        <is>
          <t>Kyrkan</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23516-2026</t>
        </is>
      </c>
      <c r="B234" t="inlineStr">
        <is>
          <t>avverkningsanmälan</t>
        </is>
      </c>
      <c r="C234" t="inlineStr">
        <is>
          <t>Föryngringsavverkning</t>
        </is>
      </c>
      <c r="D234" s="1" t="n">
        <v>46163</v>
      </c>
      <c r="E234" s="1" t="n">
        <v>46220</v>
      </c>
      <c r="F234" t="inlineStr">
        <is>
          <t>VÄRMLANDS LÄN</t>
        </is>
      </c>
      <c r="G234" t="inlineStr">
        <is>
          <t>FORSHAGA</t>
        </is>
      </c>
      <c r="H234" t="inlineStr">
        <is>
          <t>Kyrkan</t>
        </is>
      </c>
      <c r="I234" t="n">
        <v>3.7</v>
      </c>
      <c r="J234" t="n">
        <v>0</v>
      </c>
      <c r="K234" t="n">
        <v>0</v>
      </c>
      <c r="L234" t="n">
        <v>0</v>
      </c>
      <c r="M234" t="n">
        <v>0</v>
      </c>
      <c r="N234" t="n">
        <v>0</v>
      </c>
      <c r="O234" t="n">
        <v>0</v>
      </c>
      <c r="P234" t="n">
        <v>0</v>
      </c>
      <c r="Q234" t="n">
        <v>0</v>
      </c>
      <c r="R234" t="n">
        <v>0</v>
      </c>
      <c r="S234" t="n">
        <v>0</v>
      </c>
      <c r="T234" t="n">
        <v>0</v>
      </c>
      <c r="U234" s="2" t="inlineStr"/>
    </row>
    <row r="235" ht="15" customHeight="1">
      <c r="A235" t="inlineStr">
        <is>
          <t>A 58114-2024</t>
        </is>
      </c>
      <c r="B235" t="inlineStr">
        <is>
          <t>avverkningsanmälan</t>
        </is>
      </c>
      <c r="C235" t="inlineStr">
        <is>
          <t>Föryngringsavverkning</t>
        </is>
      </c>
      <c r="D235" s="1" t="n">
        <v>45632</v>
      </c>
      <c r="E235" s="1" t="n">
        <v>46220</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s="2" t="inlineStr"/>
    </row>
    <row r="236" ht="15" customHeight="1">
      <c r="A236" t="inlineStr">
        <is>
          <t>A 60043-2022</t>
        </is>
      </c>
      <c r="B236" t="inlineStr">
        <is>
          <t>avverkningsanmälan</t>
        </is>
      </c>
      <c r="C236" t="inlineStr">
        <is>
          <t>Föryngringsavverkning</t>
        </is>
      </c>
      <c r="D236" s="1" t="n">
        <v>44902</v>
      </c>
      <c r="E236" s="1" t="n">
        <v>46220</v>
      </c>
      <c r="F236" t="inlineStr">
        <is>
          <t>VÄRMLANDS LÄN</t>
        </is>
      </c>
      <c r="G236" t="inlineStr">
        <is>
          <t>FORSHAGA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10996-2025</t>
        </is>
      </c>
      <c r="B237" t="inlineStr">
        <is>
          <t>avverkningsanmälan</t>
        </is>
      </c>
      <c r="C237" t="inlineStr">
        <is>
          <t>Föryngringsavverkning</t>
        </is>
      </c>
      <c r="D237" s="1" t="n">
        <v>45723</v>
      </c>
      <c r="E237" s="1" t="n">
        <v>46220</v>
      </c>
      <c r="F237" t="inlineStr">
        <is>
          <t>VÄRMLANDS LÄN</t>
        </is>
      </c>
      <c r="G237" t="inlineStr">
        <is>
          <t>FORSHAGA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2843-2022</t>
        </is>
      </c>
      <c r="B238" t="inlineStr">
        <is>
          <t>avverkningsanmälan</t>
        </is>
      </c>
      <c r="C238" t="inlineStr">
        <is>
          <t>Föryngringsavverkning</t>
        </is>
      </c>
      <c r="D238" s="1" t="n">
        <v>44581</v>
      </c>
      <c r="E238" s="1" t="n">
        <v>46220</v>
      </c>
      <c r="F238" t="inlineStr">
        <is>
          <t>VÄRMLANDS LÄN</t>
        </is>
      </c>
      <c r="G238" t="inlineStr">
        <is>
          <t>FORSHAGA</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30374-2026</t>
        </is>
      </c>
      <c r="B239" t="inlineStr">
        <is>
          <t>avverkningsanmälan</t>
        </is>
      </c>
      <c r="C239" t="inlineStr">
        <is>
          <t>Föryngringsavverkning</t>
        </is>
      </c>
      <c r="D239" s="1" t="n">
        <v>46209</v>
      </c>
      <c r="E239" s="1" t="n">
        <v>46220</v>
      </c>
      <c r="F239" t="inlineStr">
        <is>
          <t>VÄRMLANDS LÄN</t>
        </is>
      </c>
      <c r="G239" t="inlineStr">
        <is>
          <t>FORSHAGA</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30380-2026</t>
        </is>
      </c>
      <c r="B240" t="inlineStr">
        <is>
          <t>avverkningsanmälan</t>
        </is>
      </c>
      <c r="C240" t="inlineStr">
        <is>
          <t>Föryngringsavverkning</t>
        </is>
      </c>
      <c r="D240" s="1" t="n">
        <v>46209</v>
      </c>
      <c r="E240" s="1" t="n">
        <v>46220</v>
      </c>
      <c r="F240" t="inlineStr">
        <is>
          <t>VÄRMLANDS LÄN</t>
        </is>
      </c>
      <c r="G240" t="inlineStr">
        <is>
          <t>FORSHAGA</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21295-2023</t>
        </is>
      </c>
      <c r="B241" t="inlineStr">
        <is>
          <t>avverkningsanmälan</t>
        </is>
      </c>
      <c r="C241" t="inlineStr">
        <is>
          <t>Föryngringsavverkning</t>
        </is>
      </c>
      <c r="D241" s="1" t="n">
        <v>45062</v>
      </c>
      <c r="E241" s="1" t="n">
        <v>46220</v>
      </c>
      <c r="F241" t="inlineStr">
        <is>
          <t>VÄRMLANDS LÄN</t>
        </is>
      </c>
      <c r="G241" t="inlineStr">
        <is>
          <t>FORSHAGA</t>
        </is>
      </c>
      <c r="H241" t="inlineStr">
        <is>
          <t>Bergvik skog väst AB</t>
        </is>
      </c>
      <c r="I241" t="n">
        <v>0.3</v>
      </c>
      <c r="J241" t="n">
        <v>0</v>
      </c>
      <c r="K241" t="n">
        <v>0</v>
      </c>
      <c r="L241" t="n">
        <v>0</v>
      </c>
      <c r="M241" t="n">
        <v>0</v>
      </c>
      <c r="N241" t="n">
        <v>0</v>
      </c>
      <c r="O241" t="n">
        <v>0</v>
      </c>
      <c r="P241" t="n">
        <v>0</v>
      </c>
      <c r="Q241" t="n">
        <v>0</v>
      </c>
      <c r="R241" t="n">
        <v>0</v>
      </c>
      <c r="S241" t="n">
        <v>0</v>
      </c>
      <c r="T241" t="n">
        <v>0</v>
      </c>
      <c r="U241" s="2" t="inlineStr"/>
    </row>
    <row r="242" ht="15" customHeight="1">
      <c r="A242" t="inlineStr">
        <is>
          <t>A 32795-2023</t>
        </is>
      </c>
      <c r="B242" t="inlineStr">
        <is>
          <t>avverkningsanmälan</t>
        </is>
      </c>
      <c r="C242" t="inlineStr">
        <is>
          <t>Föryngringsavverkning</t>
        </is>
      </c>
      <c r="D242" s="1" t="n">
        <v>45124</v>
      </c>
      <c r="E242" s="1" t="n">
        <v>46220</v>
      </c>
      <c r="F242" t="inlineStr">
        <is>
          <t>VÄRMLANDS LÄN</t>
        </is>
      </c>
      <c r="G242" t="inlineStr">
        <is>
          <t>FORSHAGA</t>
        </is>
      </c>
      <c r="H242" t="inlineStr">
        <is>
          <t>Kommuner</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62802-2023</t>
        </is>
      </c>
      <c r="B243" t="inlineStr">
        <is>
          <t>avverkningsanmälan</t>
        </is>
      </c>
      <c r="C243" t="inlineStr">
        <is>
          <t>Föryngringsavverkning</t>
        </is>
      </c>
      <c r="D243" s="1" t="n">
        <v>45271</v>
      </c>
      <c r="E243" s="1" t="n">
        <v>46220</v>
      </c>
      <c r="F243" t="inlineStr">
        <is>
          <t>VÄRMLANDS LÄN</t>
        </is>
      </c>
      <c r="G243" t="inlineStr">
        <is>
          <t>FORSHAGA</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35654-2024</t>
        </is>
      </c>
      <c r="B244" t="inlineStr">
        <is>
          <t>avverkningsanmälan</t>
        </is>
      </c>
      <c r="C244" t="inlineStr">
        <is>
          <t>Föryngringsavverkning</t>
        </is>
      </c>
      <c r="D244" s="1" t="n">
        <v>45532</v>
      </c>
      <c r="E244" s="1" t="n">
        <v>46220</v>
      </c>
      <c r="F244" t="inlineStr">
        <is>
          <t>VÄRMLANDS LÄN</t>
        </is>
      </c>
      <c r="G244" t="inlineStr">
        <is>
          <t>FORSHAGA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23117-2023</t>
        </is>
      </c>
      <c r="B245" t="inlineStr">
        <is>
          <t>avverkningsanmälan</t>
        </is>
      </c>
      <c r="C245" t="inlineStr">
        <is>
          <t>Föryngringsavverkning</t>
        </is>
      </c>
      <c r="D245" s="1" t="n">
        <v>45075</v>
      </c>
      <c r="E245" s="1" t="n">
        <v>46220</v>
      </c>
      <c r="F245" t="inlineStr">
        <is>
          <t>VÄRMLANDS LÄN</t>
        </is>
      </c>
      <c r="G245" t="inlineStr">
        <is>
          <t>FORSHAGA</t>
        </is>
      </c>
      <c r="H245" t="inlineStr">
        <is>
          <t>Kyrkan</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53585-2024</t>
        </is>
      </c>
      <c r="B246" t="inlineStr">
        <is>
          <t>avverkningsanmälan</t>
        </is>
      </c>
      <c r="C246" t="inlineStr">
        <is>
          <t>Föryngringsavverkning</t>
        </is>
      </c>
      <c r="D246" s="1" t="n">
        <v>45614</v>
      </c>
      <c r="E246" s="1" t="n">
        <v>46220</v>
      </c>
      <c r="F246" t="inlineStr">
        <is>
          <t>VÄRMLANDS LÄN</t>
        </is>
      </c>
      <c r="G246" t="inlineStr">
        <is>
          <t>FORSHAGA</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34861-2022</t>
        </is>
      </c>
      <c r="B247" t="inlineStr">
        <is>
          <t>avverkningsanmälan</t>
        </is>
      </c>
      <c r="C247" t="inlineStr">
        <is>
          <t>Föryngringsavverkning</t>
        </is>
      </c>
      <c r="D247" s="1" t="n">
        <v>44796</v>
      </c>
      <c r="E247" s="1" t="n">
        <v>46220</v>
      </c>
      <c r="F247" t="inlineStr">
        <is>
          <t>VÄRMLANDS LÄN</t>
        </is>
      </c>
      <c r="G247" t="inlineStr">
        <is>
          <t>FORSHAGA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1338-2023</t>
        </is>
      </c>
      <c r="B248" t="inlineStr">
        <is>
          <t>avverkningsanmälan</t>
        </is>
      </c>
      <c r="C248" t="inlineStr">
        <is>
          <t>Föryngringsavverkning</t>
        </is>
      </c>
      <c r="D248" s="1" t="n">
        <v>44936</v>
      </c>
      <c r="E248" s="1" t="n">
        <v>46220</v>
      </c>
      <c r="F248" t="inlineStr">
        <is>
          <t>VÄRMLANDS LÄN</t>
        </is>
      </c>
      <c r="G248" t="inlineStr">
        <is>
          <t>FORSHAGA</t>
        </is>
      </c>
      <c r="I248" t="n">
        <v>6</v>
      </c>
      <c r="J248" t="n">
        <v>0</v>
      </c>
      <c r="K248" t="n">
        <v>0</v>
      </c>
      <c r="L248" t="n">
        <v>0</v>
      </c>
      <c r="M248" t="n">
        <v>0</v>
      </c>
      <c r="N248" t="n">
        <v>0</v>
      </c>
      <c r="O248" t="n">
        <v>0</v>
      </c>
      <c r="P248" t="n">
        <v>0</v>
      </c>
      <c r="Q248" t="n">
        <v>0</v>
      </c>
      <c r="R248" t="n">
        <v>0</v>
      </c>
      <c r="S248" t="n">
        <v>0</v>
      </c>
      <c r="T248" t="n">
        <v>0</v>
      </c>
      <c r="U248" s="2" t="inlineStr"/>
    </row>
    <row r="249" ht="15" customHeight="1">
      <c r="A249" t="inlineStr">
        <is>
          <t>A 70214-2021</t>
        </is>
      </c>
      <c r="B249" t="inlineStr">
        <is>
          <t>avverkningsanmälan</t>
        </is>
      </c>
      <c r="C249" t="inlineStr">
        <is>
          <t>Föryngringsavverkning</t>
        </is>
      </c>
      <c r="D249" s="1" t="n">
        <v>44535</v>
      </c>
      <c r="E249" s="1" t="n">
        <v>46220</v>
      </c>
      <c r="F249" t="inlineStr">
        <is>
          <t>VÄRMLANDS LÄN</t>
        </is>
      </c>
      <c r="G249" t="inlineStr">
        <is>
          <t>FORSHAGA</t>
        </is>
      </c>
      <c r="I249" t="n">
        <v>5.3</v>
      </c>
      <c r="J249" t="n">
        <v>0</v>
      </c>
      <c r="K249" t="n">
        <v>0</v>
      </c>
      <c r="L249" t="n">
        <v>0</v>
      </c>
      <c r="M249" t="n">
        <v>0</v>
      </c>
      <c r="N249" t="n">
        <v>0</v>
      </c>
      <c r="O249" t="n">
        <v>0</v>
      </c>
      <c r="P249" t="n">
        <v>0</v>
      </c>
      <c r="Q249" t="n">
        <v>0</v>
      </c>
      <c r="R249" t="n">
        <v>0</v>
      </c>
      <c r="S249" t="n">
        <v>0</v>
      </c>
      <c r="T249" t="n">
        <v>0</v>
      </c>
      <c r="U249" s="2" t="inlineStr"/>
    </row>
    <row r="250" ht="15" customHeight="1">
      <c r="A250" t="inlineStr">
        <is>
          <t>A 61463-2022</t>
        </is>
      </c>
      <c r="B250" t="inlineStr">
        <is>
          <t>avverkningsanmälan</t>
        </is>
      </c>
      <c r="C250" t="inlineStr">
        <is>
          <t>Föryngringsavverkning</t>
        </is>
      </c>
      <c r="D250" s="1" t="n">
        <v>44916</v>
      </c>
      <c r="E250" s="1" t="n">
        <v>46220</v>
      </c>
      <c r="F250" t="inlineStr">
        <is>
          <t>VÄRMLANDS LÄN</t>
        </is>
      </c>
      <c r="G250" t="inlineStr">
        <is>
          <t>FORSHAGA</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33227-2023</t>
        </is>
      </c>
      <c r="B251" t="inlineStr">
        <is>
          <t>avverkningsanmälan</t>
        </is>
      </c>
      <c r="C251" t="inlineStr">
        <is>
          <t>Föryngringsavverkning</t>
        </is>
      </c>
      <c r="D251" s="1" t="n">
        <v>45127</v>
      </c>
      <c r="E251" s="1" t="n">
        <v>46220</v>
      </c>
      <c r="F251" t="inlineStr">
        <is>
          <t>VÄRMLANDS LÄN</t>
        </is>
      </c>
      <c r="G251" t="inlineStr">
        <is>
          <t>FORSHAGA</t>
        </is>
      </c>
      <c r="H251" t="inlineStr">
        <is>
          <t>Kommuner</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19323-2023</t>
        </is>
      </c>
      <c r="B252" t="inlineStr">
        <is>
          <t>avverkningsanmälan</t>
        </is>
      </c>
      <c r="C252" t="inlineStr">
        <is>
          <t>Föryngringsavverkning</t>
        </is>
      </c>
      <c r="D252" s="1" t="n">
        <v>45049</v>
      </c>
      <c r="E252" s="1" t="n">
        <v>46220</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35336-2024</t>
        </is>
      </c>
      <c r="B253" t="inlineStr">
        <is>
          <t>avverkningsanmälan</t>
        </is>
      </c>
      <c r="C253" t="inlineStr">
        <is>
          <t>Föryngringsavverkning</t>
        </is>
      </c>
      <c r="D253" s="1" t="n">
        <v>45530</v>
      </c>
      <c r="E253" s="1" t="n">
        <v>46220</v>
      </c>
      <c r="F253" t="inlineStr">
        <is>
          <t>VÄRMLANDS LÄN</t>
        </is>
      </c>
      <c r="G253" t="inlineStr">
        <is>
          <t>FORSHAGA</t>
        </is>
      </c>
      <c r="H253" t="inlineStr">
        <is>
          <t>Kommuner</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22619-2025</t>
        </is>
      </c>
      <c r="B254" t="inlineStr">
        <is>
          <t>avverkningsanmälan</t>
        </is>
      </c>
      <c r="C254" t="inlineStr">
        <is>
          <t>Föryngringsavverkning</t>
        </is>
      </c>
      <c r="D254" s="1" t="n">
        <v>45789</v>
      </c>
      <c r="E254" s="1" t="n">
        <v>46220</v>
      </c>
      <c r="F254" t="inlineStr">
        <is>
          <t>VÄRMLANDS LÄN</t>
        </is>
      </c>
      <c r="G254" t="inlineStr">
        <is>
          <t>FORSHAGA</t>
        </is>
      </c>
      <c r="H254" t="inlineStr">
        <is>
          <t>Bergvik skog väst AB</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S 5497-2022</t>
        </is>
      </c>
      <c r="B255" t="inlineStr">
        <is>
          <t>samrådsanmälan</t>
        </is>
      </c>
      <c r="C255" t="inlineStr">
        <is>
          <t>Skogsgödsling</t>
        </is>
      </c>
      <c r="D255" s="1" t="n">
        <v>44834</v>
      </c>
      <c r="E255" s="1" t="n">
        <v>46220</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s="2" t="inlineStr"/>
    </row>
    <row r="256" ht="15" customHeight="1">
      <c r="A256" t="inlineStr">
        <is>
          <t>S 4414-2023</t>
        </is>
      </c>
      <c r="B256" t="inlineStr">
        <is>
          <t>samrådsanmälan</t>
        </is>
      </c>
      <c r="C256" t="inlineStr">
        <is>
          <t>Skogsgödsling</t>
        </is>
      </c>
      <c r="D256" s="1" t="n">
        <v>45266</v>
      </c>
      <c r="E256" s="1" t="n">
        <v>46220</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S 4411-2023</t>
        </is>
      </c>
      <c r="B257" t="inlineStr">
        <is>
          <t>samrådsanmälan</t>
        </is>
      </c>
      <c r="C257" t="inlineStr">
        <is>
          <t>Skogsgödsling</t>
        </is>
      </c>
      <c r="D257" s="1" t="n">
        <v>45266</v>
      </c>
      <c r="E257" s="1" t="n">
        <v>46220</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s="2" t="inlineStr"/>
    </row>
    <row r="258" ht="15" customHeight="1">
      <c r="A258" t="inlineStr">
        <is>
          <t>S 915-2022</t>
        </is>
      </c>
      <c r="B258" t="inlineStr">
        <is>
          <t>samrådsanmälan</t>
        </is>
      </c>
      <c r="C258" t="inlineStr">
        <is>
          <t>Skogsgödsling</t>
        </is>
      </c>
      <c r="D258" s="1" t="n">
        <v>44606</v>
      </c>
      <c r="E258" s="1" t="n">
        <v>46220</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s="2" t="inlineStr"/>
    </row>
    <row r="259" ht="15" customHeight="1">
      <c r="A259" t="inlineStr">
        <is>
          <t>S 6974-2022</t>
        </is>
      </c>
      <c r="B259" t="inlineStr">
        <is>
          <t>samrådsanmälan</t>
        </is>
      </c>
      <c r="C259" t="inlineStr">
        <is>
          <t>Skogsgödsling</t>
        </is>
      </c>
      <c r="D259" s="1" t="n">
        <v>44901</v>
      </c>
      <c r="E259" s="1" t="n">
        <v>46220</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s="2" t="inlineStr"/>
    </row>
    <row r="260" ht="15" customHeight="1">
      <c r="A260" t="inlineStr">
        <is>
          <t>S 6964-2022</t>
        </is>
      </c>
      <c r="B260" t="inlineStr">
        <is>
          <t>samrådsanmälan</t>
        </is>
      </c>
      <c r="C260" t="inlineStr">
        <is>
          <t>Skogsgödsling</t>
        </is>
      </c>
      <c r="D260" s="1" t="n">
        <v>44901</v>
      </c>
      <c r="E260" s="1" t="n">
        <v>46220</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s="2" t="inlineStr"/>
    </row>
    <row r="261" ht="15" customHeight="1">
      <c r="A261" t="inlineStr">
        <is>
          <t>S 4403-2023</t>
        </is>
      </c>
      <c r="B261" t="inlineStr">
        <is>
          <t>samrådsanmälan</t>
        </is>
      </c>
      <c r="C261" t="inlineStr">
        <is>
          <t>Skogsgödsling</t>
        </is>
      </c>
      <c r="D261" s="1" t="n">
        <v>45266</v>
      </c>
      <c r="E261" s="1" t="n">
        <v>46220</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s="2" t="inlineStr"/>
    </row>
    <row r="262" ht="15" customHeight="1">
      <c r="A262" t="inlineStr">
        <is>
          <t>S 4429-2023</t>
        </is>
      </c>
      <c r="B262" t="inlineStr">
        <is>
          <t>samrådsanmälan</t>
        </is>
      </c>
      <c r="C262" t="inlineStr">
        <is>
          <t>Skogsgödsling</t>
        </is>
      </c>
      <c r="D262" s="1" t="n">
        <v>45266</v>
      </c>
      <c r="E262" s="1" t="n">
        <v>46220</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s="2" t="inlineStr"/>
    </row>
    <row r="263" ht="15" customHeight="1">
      <c r="A263" t="inlineStr">
        <is>
          <t>S 870-2022</t>
        </is>
      </c>
      <c r="B263" t="inlineStr">
        <is>
          <t>samrådsanmälan</t>
        </is>
      </c>
      <c r="C263" t="inlineStr">
        <is>
          <t>Skogsgödsling</t>
        </is>
      </c>
      <c r="D263" s="1" t="n">
        <v>44606</v>
      </c>
      <c r="E263" s="1" t="n">
        <v>46220</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s="2" t="inlineStr"/>
    </row>
    <row r="264" ht="15" customHeight="1">
      <c r="A264" t="inlineStr">
        <is>
          <t>S 933-2022</t>
        </is>
      </c>
      <c r="B264" t="inlineStr">
        <is>
          <t>samrådsanmälan</t>
        </is>
      </c>
      <c r="C264" t="inlineStr">
        <is>
          <t>Skogsgödsling</t>
        </is>
      </c>
      <c r="D264" s="1" t="n">
        <v>44606</v>
      </c>
      <c r="E264" s="1" t="n">
        <v>46220</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46220</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2026-07-17T01:44:37Z</dcterms:created>
  <dcterms:modified xmlns:dcterms="http://purl.org/dc/terms/" xmlns:xsi="http://www.w3.org/2001/XMLSchema-instance" xsi:type="dcterms:W3CDTF">2026-07-17T01:44:37Z</dcterms:modified>
</cp:coreProperties>
</file>