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46299</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40574-2026</t>
        </is>
      </c>
      <c r="B3" t="inlineStr">
        <is>
          <t>avverkningsanmälan</t>
        </is>
      </c>
      <c r="C3" t="inlineStr">
        <is>
          <t>Föryngringsavverkning</t>
        </is>
      </c>
      <c r="D3" s="1" t="n">
        <v>46295</v>
      </c>
      <c r="E3" s="1" t="n">
        <v>46299</v>
      </c>
      <c r="F3" t="inlineStr">
        <is>
          <t>VÄRMLANDS LÄN</t>
        </is>
      </c>
      <c r="G3" t="inlineStr">
        <is>
          <t>FORSHAGA</t>
        </is>
      </c>
      <c r="H3" t="inlineStr">
        <is>
          <t>Kommuner</t>
        </is>
      </c>
      <c r="I3" t="n">
        <v>10.4</v>
      </c>
      <c r="J3" t="n">
        <v>5</v>
      </c>
      <c r="K3" t="n">
        <v>0</v>
      </c>
      <c r="L3" t="n">
        <v>1</v>
      </c>
      <c r="M3" t="n">
        <v>0</v>
      </c>
      <c r="N3" t="n">
        <v>0</v>
      </c>
      <c r="O3" t="n">
        <v>0</v>
      </c>
      <c r="P3" t="n">
        <v>0</v>
      </c>
      <c r="Q3" t="n">
        <v>1</v>
      </c>
      <c r="R3" t="n">
        <v>0</v>
      </c>
      <c r="S3" t="n">
        <v>5</v>
      </c>
      <c r="T3" t="n">
        <v>5</v>
      </c>
      <c r="U3" t="n">
        <v>0</v>
      </c>
      <c r="V3" s="2" t="inlineStr">
        <is>
          <t>Björktrast
Spillkråka
Tofsmes
Vanlig groda
Nattviol</t>
        </is>
      </c>
      <c r="W3">
        <f>HYPERLINK("https://klasma.github.io/Logging_1763/artfynd/A 40574-2026 artfynd.xlsx", "A 40574-2026")</f>
        <v/>
      </c>
      <c r="X3">
        <f>HYPERLINK("https://klasma.github.io/Logging_1763/kartor/A 40574-2026 karta.png", "A 40574-2026")</f>
        <v/>
      </c>
      <c r="Y3">
        <f>HYPERLINK("https://klasma.github.io/Logging_1763/kartor_geotiff/A 40574-2026 georefererad karta.tif", "A 40574-2026")</f>
        <v/>
      </c>
      <c r="AA3">
        <f>HYPERLINK("https://klasma.github.io/Logging_1763/klagomål/A 40574-2026 FSC-klagomål.docx", "A 40574-2026")</f>
        <v/>
      </c>
      <c r="AB3">
        <f>HYPERLINK("https://klasma.github.io/Logging_1763/klagomålsmail/A 40574-2026 FSC-klagomål mail.docx", "A 40574-2026")</f>
        <v/>
      </c>
      <c r="AC3">
        <f>HYPERLINK("https://klasma.github.io/Logging_1763/tillsyn/A 40574-2026 tillsynsbegäran.docx", "A 40574-2026")</f>
        <v/>
      </c>
      <c r="AD3">
        <f>HYPERLINK("https://klasma.github.io/Logging_1763/tillsynsmail/A 40574-2026 tillsynsbegäran mail.docx", "A 40574-2026")</f>
        <v/>
      </c>
      <c r="AE3">
        <f>HYPERLINK("https://klasma.github.io/Logging_1763/fåglar/A 40574-2026 prioriterade fågelarter.docx", "A 40574-2026")</f>
        <v/>
      </c>
    </row>
    <row r="4" ht="15" customHeight="1">
      <c r="A4" t="inlineStr">
        <is>
          <t>A 18094-2026</t>
        </is>
      </c>
      <c r="B4" t="inlineStr">
        <is>
          <t>avverkningsanmälan</t>
        </is>
      </c>
      <c r="C4" t="inlineStr">
        <is>
          <t>Föryngringsavverkning</t>
        </is>
      </c>
      <c r="D4" s="1" t="n">
        <v>46125</v>
      </c>
      <c r="E4" s="1" t="n">
        <v>46299</v>
      </c>
      <c r="F4" t="inlineStr">
        <is>
          <t>VÄRMLANDS LÄN</t>
        </is>
      </c>
      <c r="G4" t="inlineStr">
        <is>
          <t>FORSHAGA</t>
        </is>
      </c>
      <c r="H4" t="inlineStr">
        <is>
          <t>Bergvik skog väst AB</t>
        </is>
      </c>
      <c r="I4" t="n">
        <v>7.8</v>
      </c>
      <c r="J4" t="n">
        <v>0</v>
      </c>
      <c r="K4" t="n">
        <v>2</v>
      </c>
      <c r="L4" t="n">
        <v>1</v>
      </c>
      <c r="M4" t="n">
        <v>1</v>
      </c>
      <c r="N4" t="n">
        <v>0</v>
      </c>
      <c r="O4" t="n">
        <v>0</v>
      </c>
      <c r="P4" t="n">
        <v>0</v>
      </c>
      <c r="Q4" t="n">
        <v>2</v>
      </c>
      <c r="R4" t="n">
        <v>1</v>
      </c>
      <c r="S4" t="n">
        <v>4</v>
      </c>
      <c r="T4" t="n">
        <v>4</v>
      </c>
      <c r="U4" t="n">
        <v>0</v>
      </c>
      <c r="V4" s="2" t="inlineStr">
        <is>
          <t>Blackticka
Fjällig taggsvamp s.str.
Brandticka
Mörk husmossa</t>
        </is>
      </c>
      <c r="W4">
        <f>HYPERLINK("https://klasma.github.io/Logging_1763/artfynd/A 18094-2026 artfynd.xlsx", "A 18094-2026")</f>
        <v/>
      </c>
      <c r="X4">
        <f>HYPERLINK("https://klasma.github.io/Logging_1763/kartor/A 18094-2026 karta.png", "A 18094-2026")</f>
        <v/>
      </c>
      <c r="Y4">
        <f>HYPERLINK("https://klasma.github.io/Logging_1763/kartor_geotiff/A 18094-2026 georefererad karta.tif", "A 18094-2026")</f>
        <v/>
      </c>
      <c r="AA4">
        <f>HYPERLINK("https://klasma.github.io/Logging_1763/klagomål/A 18094-2026 FSC-klagomål.docx", "A 18094-2026")</f>
        <v/>
      </c>
      <c r="AB4">
        <f>HYPERLINK("https://klasma.github.io/Logging_1763/klagomålsmail/A 18094-2026 FSC-klagomål mail.docx", "A 18094-2026")</f>
        <v/>
      </c>
      <c r="AC4">
        <f>HYPERLINK("https://klasma.github.io/Logging_1763/tillsyn/A 18094-2026 tillsynsbegäran.docx", "A 18094-2026")</f>
        <v/>
      </c>
      <c r="AD4">
        <f>HYPERLINK("https://klasma.github.io/Logging_1763/tillsynsmail/A 18094-2026 tillsynsbegäran mail.docx", "A 18094-2026")</f>
        <v/>
      </c>
    </row>
    <row r="5" ht="15" customHeight="1">
      <c r="A5" t="inlineStr">
        <is>
          <t>A 66072-2021</t>
        </is>
      </c>
      <c r="B5" t="inlineStr">
        <is>
          <t>avverkningsanmälan</t>
        </is>
      </c>
      <c r="C5" t="inlineStr">
        <is>
          <t>Avverkning för annat ändamål</t>
        </is>
      </c>
      <c r="D5" s="1" t="n">
        <v>44517</v>
      </c>
      <c r="E5" s="1" t="n">
        <v>46299</v>
      </c>
      <c r="F5" t="inlineStr">
        <is>
          <t>VÄRMLANDS LÄN</t>
        </is>
      </c>
      <c r="G5" t="inlineStr">
        <is>
          <t>FORSHAGA</t>
        </is>
      </c>
      <c r="H5" t="inlineStr">
        <is>
          <t>Bergvik skog väst AB</t>
        </is>
      </c>
      <c r="I5" t="n">
        <v>2</v>
      </c>
      <c r="J5" t="n">
        <v>1</v>
      </c>
      <c r="K5" t="n">
        <v>1</v>
      </c>
      <c r="L5" t="n">
        <v>2</v>
      </c>
      <c r="M5" t="n">
        <v>0</v>
      </c>
      <c r="N5" t="n">
        <v>0</v>
      </c>
      <c r="O5" t="n">
        <v>0</v>
      </c>
      <c r="P5" t="n">
        <v>0</v>
      </c>
      <c r="Q5" t="n">
        <v>2</v>
      </c>
      <c r="R5" t="n">
        <v>0</v>
      </c>
      <c r="S5" t="n">
        <v>4</v>
      </c>
      <c r="T5" t="n">
        <v>4</v>
      </c>
      <c r="U5" t="n">
        <v>1</v>
      </c>
      <c r="V5" s="2" t="inlineStr">
        <is>
          <t>Gullklöver
Skogsklocka
Svart trolldruva
Blåsippa</t>
        </is>
      </c>
      <c r="W5">
        <f>HYPERLINK("https://klasma.github.io/Logging_1763/artfynd/A 66072-2021 artfynd.xlsx", "A 66072-2021")</f>
        <v/>
      </c>
      <c r="X5">
        <f>HYPERLINK("https://klasma.github.io/Logging_1763/kartor/A 66072-2021 karta.png", "A 66072-2021")</f>
        <v/>
      </c>
      <c r="Y5">
        <f>HYPERLINK("https://klasma.github.io/Logging_1763/kartor_geotiff/A 66072-2021 georefererad karta.tif", "A 66072-2021")</f>
        <v/>
      </c>
      <c r="AA5">
        <f>HYPERLINK("https://klasma.github.io/Logging_1763/klagomål/A 66072-2021 FSC-klagomål.docx", "A 66072-2021")</f>
        <v/>
      </c>
      <c r="AB5">
        <f>HYPERLINK("https://klasma.github.io/Logging_1763/klagomålsmail/A 66072-2021 FSC-klagomål mail.docx", "A 66072-2021")</f>
        <v/>
      </c>
      <c r="AC5">
        <f>HYPERLINK("https://klasma.github.io/Logging_1763/tillsyn/A 66072-2021 tillsynsbegäran.docx", "A 66072-2021")</f>
        <v/>
      </c>
      <c r="AD5">
        <f>HYPERLINK("https://klasma.github.io/Logging_1763/tillsynsmail/A 66072-2021 tillsynsbegäran mail.docx", "A 66072-2021")</f>
        <v/>
      </c>
    </row>
    <row r="6" ht="15" customHeight="1">
      <c r="A6" t="inlineStr">
        <is>
          <t>A 34758-2024</t>
        </is>
      </c>
      <c r="B6" t="inlineStr">
        <is>
          <t>avverkningsanmälan</t>
        </is>
      </c>
      <c r="C6" t="inlineStr">
        <is>
          <t>Föryngringsavverkning</t>
        </is>
      </c>
      <c r="D6" s="1" t="n">
        <v>45526</v>
      </c>
      <c r="E6" s="1" t="n">
        <v>46299</v>
      </c>
      <c r="F6" t="inlineStr">
        <is>
          <t>VÄRMLANDS LÄN</t>
        </is>
      </c>
      <c r="G6" t="inlineStr">
        <is>
          <t>FORSHAGA</t>
        </is>
      </c>
      <c r="H6" t="inlineStr">
        <is>
          <t>Bergvik skog väst AB</t>
        </is>
      </c>
      <c r="I6" t="n">
        <v>6.2</v>
      </c>
      <c r="J6" t="n">
        <v>1</v>
      </c>
      <c r="K6" t="n">
        <v>0</v>
      </c>
      <c r="L6" t="n">
        <v>3</v>
      </c>
      <c r="M6" t="n">
        <v>0</v>
      </c>
      <c r="N6" t="n">
        <v>0</v>
      </c>
      <c r="O6" t="n">
        <v>0</v>
      </c>
      <c r="P6" t="n">
        <v>0</v>
      </c>
      <c r="Q6" t="n">
        <v>3</v>
      </c>
      <c r="R6" t="n">
        <v>0</v>
      </c>
      <c r="S6" t="n">
        <v>4</v>
      </c>
      <c r="T6" t="n">
        <v>6</v>
      </c>
      <c r="U6" t="n">
        <v>6</v>
      </c>
      <c r="V6" s="2" t="inlineStr">
        <is>
          <t>Dofttaggsvamp
Fjällig taggsvamp s.str.
Ullticka
Blåsippa</t>
        </is>
      </c>
      <c r="W6">
        <f>HYPERLINK("https://klasma.github.io/Logging_1763/artfynd/A 34758-2024 artfynd.xlsx", "A 34758-2024")</f>
        <v/>
      </c>
      <c r="X6">
        <f>HYPERLINK("https://klasma.github.io/Logging_1763/kartor/A 34758-2024 karta.png", "A 34758-2024")</f>
        <v/>
      </c>
      <c r="Y6">
        <f>HYPERLINK("https://klasma.github.io/Logging_1763/kartor_geotiff/A 34758-2024 georefererad karta.tif", "A 34758-2024")</f>
        <v/>
      </c>
      <c r="AA6">
        <f>HYPERLINK("https://klasma.github.io/Logging_1763/klagomål/A 34758-2024 FSC-klagomål.docx", "A 34758-2024")</f>
        <v/>
      </c>
      <c r="AB6">
        <f>HYPERLINK("https://klasma.github.io/Logging_1763/klagomålsmail/A 34758-2024 FSC-klagomål mail.docx", "A 34758-2024")</f>
        <v/>
      </c>
      <c r="AC6">
        <f>HYPERLINK("https://klasma.github.io/Logging_1763/tillsyn/A 34758-2024 tillsynsbegäran.docx", "A 34758-2024")</f>
        <v/>
      </c>
      <c r="AD6">
        <f>HYPERLINK("https://klasma.github.io/Logging_1763/tillsynsmail/A 34758-2024 tillsynsbegäran mail.docx", "A 34758-2024")</f>
        <v/>
      </c>
    </row>
    <row r="7" ht="15" customHeight="1">
      <c r="A7" t="inlineStr">
        <is>
          <t>A 72989-2021</t>
        </is>
      </c>
      <c r="B7" t="inlineStr">
        <is>
          <t>avverkningsanmälan</t>
        </is>
      </c>
      <c r="C7" t="inlineStr">
        <is>
          <t>Föryngringsavverkning</t>
        </is>
      </c>
      <c r="D7" s="1" t="n">
        <v>44549</v>
      </c>
      <c r="E7" s="1" t="n">
        <v>46299</v>
      </c>
      <c r="F7" t="inlineStr">
        <is>
          <t>VÄRMLANDS LÄN</t>
        </is>
      </c>
      <c r="G7" t="inlineStr">
        <is>
          <t>FORSHAGA</t>
        </is>
      </c>
      <c r="I7" t="n">
        <v>3.3</v>
      </c>
      <c r="J7" t="n">
        <v>3</v>
      </c>
      <c r="K7" t="n">
        <v>0</v>
      </c>
      <c r="L7" t="n">
        <v>2</v>
      </c>
      <c r="M7" t="n">
        <v>0</v>
      </c>
      <c r="N7" t="n">
        <v>0</v>
      </c>
      <c r="O7" t="n">
        <v>0</v>
      </c>
      <c r="P7" t="n">
        <v>0</v>
      </c>
      <c r="Q7" t="n">
        <v>2</v>
      </c>
      <c r="R7" t="n">
        <v>0</v>
      </c>
      <c r="S7" t="n">
        <v>3</v>
      </c>
      <c r="T7" t="n">
        <v>3</v>
      </c>
      <c r="U7" t="n">
        <v>1</v>
      </c>
      <c r="V7" s="2" t="inlineStr">
        <is>
          <t>Kungsfiskare
Mindre hackspett
Skogsduva</t>
        </is>
      </c>
      <c r="W7">
        <f>HYPERLINK("https://klasma.github.io/Logging_1763/artfynd/A 72989-2021 artfynd.xlsx", "A 72989-2021")</f>
        <v/>
      </c>
      <c r="X7">
        <f>HYPERLINK("https://klasma.github.io/Logging_1763/kartor/A 72989-2021 karta.png", "A 72989-2021")</f>
        <v/>
      </c>
      <c r="Y7">
        <f>HYPERLINK("https://klasma.github.io/Logging_1763/kartor_geotiff/A 72989-2021 georefererad karta.tif", "A 72989-2021")</f>
        <v/>
      </c>
      <c r="AA7">
        <f>HYPERLINK("https://klasma.github.io/Logging_1763/klagomål/A 72989-2021 FSC-klagomål.docx", "A 72989-2021")</f>
        <v/>
      </c>
      <c r="AB7">
        <f>HYPERLINK("https://klasma.github.io/Logging_1763/klagomålsmail/A 72989-2021 FSC-klagomål mail.docx", "A 72989-2021")</f>
        <v/>
      </c>
      <c r="AC7">
        <f>HYPERLINK("https://klasma.github.io/Logging_1763/tillsyn/A 72989-2021 tillsynsbegäran.docx", "A 72989-2021")</f>
        <v/>
      </c>
      <c r="AD7">
        <f>HYPERLINK("https://klasma.github.io/Logging_1763/tillsynsmail/A 72989-2021 tillsynsbegäran mail.docx", "A 72989-2021")</f>
        <v/>
      </c>
      <c r="AE7">
        <f>HYPERLINK("https://klasma.github.io/Logging_1763/fåglar/A 72989-2021 prioriterade fågelarter.docx", "A 72989-2021")</f>
        <v/>
      </c>
    </row>
    <row r="8" ht="15" customHeight="1">
      <c r="A8" t="inlineStr">
        <is>
          <t>A 5766-2026</t>
        </is>
      </c>
      <c r="B8" t="inlineStr">
        <is>
          <t>avverkningsanmälan</t>
        </is>
      </c>
      <c r="C8" t="inlineStr">
        <is>
          <t>Föryngringsavverkning</t>
        </is>
      </c>
      <c r="D8" s="1" t="n">
        <v>46051</v>
      </c>
      <c r="E8" s="1" t="n">
        <v>46299</v>
      </c>
      <c r="F8" t="inlineStr">
        <is>
          <t>VÄRMLANDS LÄN</t>
        </is>
      </c>
      <c r="G8" t="inlineStr">
        <is>
          <t>FORSHAGA</t>
        </is>
      </c>
      <c r="I8" t="n">
        <v>4.2</v>
      </c>
      <c r="J8" t="n">
        <v>2</v>
      </c>
      <c r="K8" t="n">
        <v>2</v>
      </c>
      <c r="L8" t="n">
        <v>0</v>
      </c>
      <c r="M8" t="n">
        <v>0</v>
      </c>
      <c r="N8" t="n">
        <v>0</v>
      </c>
      <c r="O8" t="n">
        <v>0</v>
      </c>
      <c r="P8" t="n">
        <v>0</v>
      </c>
      <c r="Q8" t="n">
        <v>0</v>
      </c>
      <c r="R8" t="n">
        <v>0</v>
      </c>
      <c r="S8" t="n">
        <v>3</v>
      </c>
      <c r="T8" t="n">
        <v>3</v>
      </c>
      <c r="U8" t="n">
        <v>0</v>
      </c>
      <c r="V8" s="2" t="inlineStr">
        <is>
          <t>Nästrot
Svart trolldruva
Blåsippa</t>
        </is>
      </c>
      <c r="W8">
        <f>HYPERLINK("https://klasma.github.io/Logging_1763/artfynd/A 5766-2026 artfynd.xlsx", "A 5766-2026")</f>
        <v/>
      </c>
      <c r="X8">
        <f>HYPERLINK("https://klasma.github.io/Logging_1763/kartor/A 5766-2026 karta.png", "A 5766-2026")</f>
        <v/>
      </c>
      <c r="Y8">
        <f>HYPERLINK("https://klasma.github.io/Logging_1763/kartor_geotiff/A 5766-2026 georefererad karta.tif", "A 5766-2026")</f>
        <v/>
      </c>
      <c r="AA8">
        <f>HYPERLINK("https://klasma.github.io/Logging_1763/klagomål/A 5766-2026 FSC-klagomål.docx", "A 5766-2026")</f>
        <v/>
      </c>
      <c r="AB8">
        <f>HYPERLINK("https://klasma.github.io/Logging_1763/klagomålsmail/A 5766-2026 FSC-klagomål mail.docx", "A 5766-2026")</f>
        <v/>
      </c>
      <c r="AC8">
        <f>HYPERLINK("https://klasma.github.io/Logging_1763/tillsyn/A 5766-2026 tillsynsbegäran.docx", "A 5766-2026")</f>
        <v/>
      </c>
      <c r="AD8">
        <f>HYPERLINK("https://klasma.github.io/Logging_1763/tillsynsmail/A 5766-2026 tillsynsbegäran mail.docx", "A 5766-2026")</f>
        <v/>
      </c>
    </row>
    <row r="9" ht="15" customHeight="1">
      <c r="A9" t="inlineStr">
        <is>
          <t>A 12854-2026</t>
        </is>
      </c>
      <c r="B9" t="inlineStr">
        <is>
          <t>avverkningsanmälan</t>
        </is>
      </c>
      <c r="C9" t="inlineStr">
        <is>
          <t>Föryngringsavverkning</t>
        </is>
      </c>
      <c r="D9" s="1" t="n">
        <v>46092</v>
      </c>
      <c r="E9" s="1" t="n">
        <v>46299</v>
      </c>
      <c r="F9" t="inlineStr">
        <is>
          <t>VÄRMLANDS LÄN</t>
        </is>
      </c>
      <c r="G9" t="inlineStr">
        <is>
          <t>FORSHAGA</t>
        </is>
      </c>
      <c r="H9" t="inlineStr">
        <is>
          <t>Bergvik skog väst AB</t>
        </is>
      </c>
      <c r="I9" t="n">
        <v>12.1</v>
      </c>
      <c r="J9" t="n">
        <v>1</v>
      </c>
      <c r="K9" t="n">
        <v>2</v>
      </c>
      <c r="L9" t="n">
        <v>0</v>
      </c>
      <c r="M9" t="n">
        <v>1</v>
      </c>
      <c r="N9" t="n">
        <v>0</v>
      </c>
      <c r="O9" t="n">
        <v>0</v>
      </c>
      <c r="P9" t="n">
        <v>0</v>
      </c>
      <c r="Q9" t="n">
        <v>1</v>
      </c>
      <c r="R9" t="n">
        <v>1</v>
      </c>
      <c r="S9" t="n">
        <v>3</v>
      </c>
      <c r="T9" t="n">
        <v>3</v>
      </c>
      <c r="U9" t="n">
        <v>0</v>
      </c>
      <c r="V9" s="2" t="inlineStr">
        <is>
          <t>Ävjepilört
Springkorn
Strutbräken</t>
        </is>
      </c>
      <c r="W9">
        <f>HYPERLINK("https://klasma.github.io/Logging_1763/artfynd/A 12854-2026 artfynd.xlsx", "A 12854-2026")</f>
        <v/>
      </c>
      <c r="X9">
        <f>HYPERLINK("https://klasma.github.io/Logging_1763/kartor/A 12854-2026 karta.png", "A 12854-2026")</f>
        <v/>
      </c>
      <c r="Y9">
        <f>HYPERLINK("https://klasma.github.io/Logging_1763/kartor_geotiff/A 12854-2026 georefererad karta.tif", "A 12854-2026")</f>
        <v/>
      </c>
      <c r="AA9">
        <f>HYPERLINK("https://klasma.github.io/Logging_1763/klagomål/A 12854-2026 FSC-klagomål.docx", "A 12854-2026")</f>
        <v/>
      </c>
      <c r="AB9">
        <f>HYPERLINK("https://klasma.github.io/Logging_1763/klagomålsmail/A 12854-2026 FSC-klagomål mail.docx", "A 12854-2026")</f>
        <v/>
      </c>
      <c r="AC9">
        <f>HYPERLINK("https://klasma.github.io/Logging_1763/tillsyn/A 12854-2026 tillsynsbegäran.docx", "A 12854-2026")</f>
        <v/>
      </c>
      <c r="AD9">
        <f>HYPERLINK("https://klasma.github.io/Logging_1763/tillsynsmail/A 12854-2026 tillsynsbegäran mail.docx", "A 12854-2026")</f>
        <v/>
      </c>
    </row>
    <row r="10" ht="15" customHeight="1">
      <c r="A10" t="inlineStr">
        <is>
          <t>A 18103-2026</t>
        </is>
      </c>
      <c r="B10" t="inlineStr">
        <is>
          <t>avverkningsanmälan</t>
        </is>
      </c>
      <c r="C10" t="inlineStr">
        <is>
          <t>Föryngringsavverkning</t>
        </is>
      </c>
      <c r="D10" s="1" t="n">
        <v>46125</v>
      </c>
      <c r="E10" s="1" t="n">
        <v>46299</v>
      </c>
      <c r="F10" t="inlineStr">
        <is>
          <t>VÄRMLANDS LÄN</t>
        </is>
      </c>
      <c r="G10" t="inlineStr">
        <is>
          <t>FORSHAGA</t>
        </is>
      </c>
      <c r="H10" t="inlineStr">
        <is>
          <t>Bergvik skog väst AB</t>
        </is>
      </c>
      <c r="I10" t="n">
        <v>7.2</v>
      </c>
      <c r="J10" t="n">
        <v>1</v>
      </c>
      <c r="K10" t="n">
        <v>1</v>
      </c>
      <c r="L10" t="n">
        <v>1</v>
      </c>
      <c r="M10" t="n">
        <v>0</v>
      </c>
      <c r="N10" t="n">
        <v>0</v>
      </c>
      <c r="O10" t="n">
        <v>0</v>
      </c>
      <c r="P10" t="n">
        <v>0</v>
      </c>
      <c r="Q10" t="n">
        <v>1</v>
      </c>
      <c r="R10" t="n">
        <v>0</v>
      </c>
      <c r="S10" t="n">
        <v>3</v>
      </c>
      <c r="T10" t="n">
        <v>3</v>
      </c>
      <c r="U10" t="n">
        <v>0</v>
      </c>
      <c r="V10" s="2" t="inlineStr">
        <is>
          <t>Gransotdyna
Mörk husmossa
Blåsippa</t>
        </is>
      </c>
      <c r="W10">
        <f>HYPERLINK("https://klasma.github.io/Logging_1763/artfynd/A 18103-2026 artfynd.xlsx", "A 18103-2026")</f>
        <v/>
      </c>
      <c r="X10">
        <f>HYPERLINK("https://klasma.github.io/Logging_1763/kartor/A 18103-2026 karta.png", "A 18103-2026")</f>
        <v/>
      </c>
      <c r="Y10">
        <f>HYPERLINK("https://klasma.github.io/Logging_1763/kartor_geotiff/A 18103-2026 georefererad karta.tif", "A 18103-2026")</f>
        <v/>
      </c>
      <c r="AA10">
        <f>HYPERLINK("https://klasma.github.io/Logging_1763/klagomål/A 18103-2026 FSC-klagomål.docx", "A 18103-2026")</f>
        <v/>
      </c>
      <c r="AB10">
        <f>HYPERLINK("https://klasma.github.io/Logging_1763/klagomålsmail/A 18103-2026 FSC-klagomål mail.docx", "A 18103-2026")</f>
        <v/>
      </c>
      <c r="AC10">
        <f>HYPERLINK("https://klasma.github.io/Logging_1763/tillsyn/A 18103-2026 tillsynsbegäran.docx", "A 18103-2026")</f>
        <v/>
      </c>
      <c r="AD10">
        <f>HYPERLINK("https://klasma.github.io/Logging_1763/tillsynsmail/A 18103-2026 tillsynsbegäran mail.docx", "A 18103-2026")</f>
        <v/>
      </c>
    </row>
    <row r="11" ht="15" customHeight="1">
      <c r="A11" t="inlineStr">
        <is>
          <t>A 63799-2023</t>
        </is>
      </c>
      <c r="B11" t="inlineStr">
        <is>
          <t>avverkningsanmälan</t>
        </is>
      </c>
      <c r="C11" t="inlineStr">
        <is>
          <t>Föryngringsavverkning</t>
        </is>
      </c>
      <c r="D11" s="1" t="n">
        <v>45278</v>
      </c>
      <c r="E11" s="1" t="n">
        <v>46299</v>
      </c>
      <c r="F11" t="inlineStr">
        <is>
          <t>VÄRMLANDS LÄN</t>
        </is>
      </c>
      <c r="G11" t="inlineStr">
        <is>
          <t>FORSHAGA</t>
        </is>
      </c>
      <c r="H11" t="inlineStr">
        <is>
          <t>Bergvik skog väst AB</t>
        </is>
      </c>
      <c r="I11" t="n">
        <v>10.5</v>
      </c>
      <c r="J11" t="n">
        <v>1</v>
      </c>
      <c r="K11" t="n">
        <v>1</v>
      </c>
      <c r="L11" t="n">
        <v>0</v>
      </c>
      <c r="M11" t="n">
        <v>1</v>
      </c>
      <c r="N11" t="n">
        <v>0</v>
      </c>
      <c r="O11" t="n">
        <v>0</v>
      </c>
      <c r="P11" t="n">
        <v>0</v>
      </c>
      <c r="Q11" t="n">
        <v>1</v>
      </c>
      <c r="R11" t="n">
        <v>1</v>
      </c>
      <c r="S11" t="n">
        <v>3</v>
      </c>
      <c r="T11" t="n">
        <v>3</v>
      </c>
      <c r="U11" t="n">
        <v>0</v>
      </c>
      <c r="V11" s="2" t="inlineStr">
        <is>
          <t>Blåtryffel
Svart trolldruva
Blåsippa</t>
        </is>
      </c>
      <c r="W11">
        <f>HYPERLINK("https://klasma.github.io/Logging_1763/artfynd/A 63799-2023 artfynd.xlsx", "A 63799-2023")</f>
        <v/>
      </c>
      <c r="X11">
        <f>HYPERLINK("https://klasma.github.io/Logging_1763/kartor/A 63799-2023 karta.png", "A 63799-2023")</f>
        <v/>
      </c>
      <c r="Y11">
        <f>HYPERLINK("https://klasma.github.io/Logging_1763/kartor_geotiff/A 63799-2023 georefererad karta.tif", "A 63799-2023")</f>
        <v/>
      </c>
      <c r="AA11">
        <f>HYPERLINK("https://klasma.github.io/Logging_1763/klagomål/A 63799-2023 FSC-klagomål.docx", "A 63799-2023")</f>
        <v/>
      </c>
      <c r="AB11">
        <f>HYPERLINK("https://klasma.github.io/Logging_1763/klagomålsmail/A 63799-2023 FSC-klagomål mail.docx", "A 63799-2023")</f>
        <v/>
      </c>
      <c r="AC11">
        <f>HYPERLINK("https://klasma.github.io/Logging_1763/tillsyn/A 63799-2023 tillsynsbegäran.docx", "A 63799-2023")</f>
        <v/>
      </c>
      <c r="AD11">
        <f>HYPERLINK("https://klasma.github.io/Logging_1763/tillsynsmail/A 63799-2023 tillsynsbegäran mail.docx", "A 63799-2023")</f>
        <v/>
      </c>
    </row>
    <row r="12" ht="15" customHeight="1">
      <c r="A12" t="inlineStr">
        <is>
          <t>A 14114-2022</t>
        </is>
      </c>
      <c r="B12" t="inlineStr">
        <is>
          <t>avverkningsanmälan</t>
        </is>
      </c>
      <c r="C12" t="inlineStr">
        <is>
          <t>Föryngringsavverkning</t>
        </is>
      </c>
      <c r="D12" s="1" t="n">
        <v>44651</v>
      </c>
      <c r="E12" s="1" t="n">
        <v>46299</v>
      </c>
      <c r="F12" t="inlineStr">
        <is>
          <t>VÄRMLANDS LÄN</t>
        </is>
      </c>
      <c r="G12" t="inlineStr">
        <is>
          <t>FORSHAGA</t>
        </is>
      </c>
      <c r="H12" t="inlineStr">
        <is>
          <t>Bergvik skog väst AB</t>
        </is>
      </c>
      <c r="I12" t="n">
        <v>25.1</v>
      </c>
      <c r="J12" t="n">
        <v>1</v>
      </c>
      <c r="K12" t="n">
        <v>0</v>
      </c>
      <c r="L12" t="n">
        <v>2</v>
      </c>
      <c r="M12" t="n">
        <v>1</v>
      </c>
      <c r="N12" t="n">
        <v>0</v>
      </c>
      <c r="O12" t="n">
        <v>0</v>
      </c>
      <c r="P12" t="n">
        <v>0</v>
      </c>
      <c r="Q12" t="n">
        <v>3</v>
      </c>
      <c r="R12" t="n">
        <v>1</v>
      </c>
      <c r="S12" t="n">
        <v>3</v>
      </c>
      <c r="T12" t="n">
        <v>3</v>
      </c>
      <c r="U12" t="n">
        <v>1</v>
      </c>
      <c r="V12" s="2" t="inlineStr">
        <is>
          <t>Brunfläckig pärlemorfjäril
Göktyta
Sotnätfjäril</t>
        </is>
      </c>
      <c r="W12">
        <f>HYPERLINK("https://klasma.github.io/Logging_1763/artfynd/A 14114-2022 artfynd.xlsx", "A 14114-2022")</f>
        <v/>
      </c>
      <c r="X12">
        <f>HYPERLINK("https://klasma.github.io/Logging_1763/kartor/A 14114-2022 karta.png", "A 14114-2022")</f>
        <v/>
      </c>
      <c r="Y12">
        <f>HYPERLINK("https://klasma.github.io/Logging_1763/kartor_geotiff/A 14114-2022 georefererad karta.tif", "A 14114-2022")</f>
        <v/>
      </c>
      <c r="AA12">
        <f>HYPERLINK("https://klasma.github.io/Logging_1763/klagomål/A 14114-2022 FSC-klagomål.docx", "A 14114-2022")</f>
        <v/>
      </c>
      <c r="AB12">
        <f>HYPERLINK("https://klasma.github.io/Logging_1763/klagomålsmail/A 14114-2022 FSC-klagomål mail.docx", "A 14114-2022")</f>
        <v/>
      </c>
      <c r="AC12">
        <f>HYPERLINK("https://klasma.github.io/Logging_1763/tillsyn/A 14114-2022 tillsynsbegäran.docx", "A 14114-2022")</f>
        <v/>
      </c>
      <c r="AD12">
        <f>HYPERLINK("https://klasma.github.io/Logging_1763/tillsynsmail/A 14114-2022 tillsynsbegäran mail.docx", "A 14114-2022")</f>
        <v/>
      </c>
      <c r="AE12">
        <f>HYPERLINK("https://klasma.github.io/Logging_1763/fåglar/A 14114-2022 prioriterade fågelarter.docx", "A 14114-2022")</f>
        <v/>
      </c>
    </row>
    <row r="13" ht="15" customHeight="1">
      <c r="A13" t="inlineStr">
        <is>
          <t>A 18811-2025</t>
        </is>
      </c>
      <c r="B13" t="inlineStr">
        <is>
          <t>avverkningsanmälan</t>
        </is>
      </c>
      <c r="C13" t="inlineStr">
        <is>
          <t>Föryngringsavverkning</t>
        </is>
      </c>
      <c r="D13" s="1" t="n">
        <v>45764</v>
      </c>
      <c r="E13" s="1" t="n">
        <v>46299</v>
      </c>
      <c r="F13" t="inlineStr">
        <is>
          <t>VÄRMLANDS LÄN</t>
        </is>
      </c>
      <c r="G13" t="inlineStr">
        <is>
          <t>FORSHAGA</t>
        </is>
      </c>
      <c r="I13" t="n">
        <v>2</v>
      </c>
      <c r="J13" t="n">
        <v>2</v>
      </c>
      <c r="K13" t="n">
        <v>0</v>
      </c>
      <c r="L13" t="n">
        <v>1</v>
      </c>
      <c r="M13" t="n">
        <v>0</v>
      </c>
      <c r="N13" t="n">
        <v>0</v>
      </c>
      <c r="O13" t="n">
        <v>0</v>
      </c>
      <c r="P13" t="n">
        <v>0</v>
      </c>
      <c r="Q13" t="n">
        <v>1</v>
      </c>
      <c r="R13" t="n">
        <v>0</v>
      </c>
      <c r="S13" t="n">
        <v>2</v>
      </c>
      <c r="T13" t="n">
        <v>2</v>
      </c>
      <c r="U13" t="n">
        <v>2</v>
      </c>
      <c r="V13" s="2" t="inlineStr">
        <is>
          <t>Ladusvala
Bergfink</t>
        </is>
      </c>
      <c r="W13">
        <f>HYPERLINK("https://klasma.github.io/Logging_1763/artfynd/A 18811-2025 artfynd.xlsx", "A 18811-2025")</f>
        <v/>
      </c>
      <c r="X13">
        <f>HYPERLINK("https://klasma.github.io/Logging_1763/kartor/A 18811-2025 karta.png", "A 18811-2025")</f>
        <v/>
      </c>
      <c r="Y13">
        <f>HYPERLINK("https://klasma.github.io/Logging_1763/kartor_geotiff/A 18811-2025 georefererad karta.tif", "A 18811-2025")</f>
        <v/>
      </c>
      <c r="AA13">
        <f>HYPERLINK("https://klasma.github.io/Logging_1763/klagomål/A 18811-2025 FSC-klagomål.docx", "A 18811-2025")</f>
        <v/>
      </c>
      <c r="AB13">
        <f>HYPERLINK("https://klasma.github.io/Logging_1763/klagomålsmail/A 18811-2025 FSC-klagomål mail.docx", "A 18811-2025")</f>
        <v/>
      </c>
      <c r="AC13">
        <f>HYPERLINK("https://klasma.github.io/Logging_1763/tillsyn/A 18811-2025 tillsynsbegäran.docx", "A 18811-2025")</f>
        <v/>
      </c>
      <c r="AD13">
        <f>HYPERLINK("https://klasma.github.io/Logging_1763/tillsynsmail/A 18811-2025 tillsynsbegäran mail.docx", "A 18811-2025")</f>
        <v/>
      </c>
    </row>
    <row r="14" ht="15" customHeight="1">
      <c r="A14" t="inlineStr">
        <is>
          <t>A 25020-2026</t>
        </is>
      </c>
      <c r="B14" t="inlineStr">
        <is>
          <t>avverkningsanmälan</t>
        </is>
      </c>
      <c r="C14" t="inlineStr">
        <is>
          <t>Föryngringsavverkning</t>
        </is>
      </c>
      <c r="D14" s="1" t="n">
        <v>46174</v>
      </c>
      <c r="E14" s="1" t="n">
        <v>46299</v>
      </c>
      <c r="F14" t="inlineStr">
        <is>
          <t>VÄRMLANDS LÄN</t>
        </is>
      </c>
      <c r="G14" t="inlineStr">
        <is>
          <t>FORSHAGA</t>
        </is>
      </c>
      <c r="I14" t="n">
        <v>1.4</v>
      </c>
      <c r="J14" t="n">
        <v>2</v>
      </c>
      <c r="K14" t="n">
        <v>0</v>
      </c>
      <c r="L14" t="n">
        <v>0</v>
      </c>
      <c r="M14" t="n">
        <v>0</v>
      </c>
      <c r="N14" t="n">
        <v>0</v>
      </c>
      <c r="O14" t="n">
        <v>0</v>
      </c>
      <c r="P14" t="n">
        <v>0</v>
      </c>
      <c r="Q14" t="n">
        <v>0</v>
      </c>
      <c r="R14" t="n">
        <v>0</v>
      </c>
      <c r="S14" t="n">
        <v>2</v>
      </c>
      <c r="T14" t="n">
        <v>2</v>
      </c>
      <c r="U14" t="n">
        <v>0</v>
      </c>
      <c r="V14" s="2" t="inlineStr">
        <is>
          <t>Vanlig groda
Vanlig padda</t>
        </is>
      </c>
      <c r="W14">
        <f>HYPERLINK("https://klasma.github.io/Logging_1763/artfynd/A 25020-2026 artfynd.xlsx", "A 25020-2026")</f>
        <v/>
      </c>
      <c r="X14">
        <f>HYPERLINK("https://klasma.github.io/Logging_1763/kartor/A 25020-2026 karta.png", "A 25020-2026")</f>
        <v/>
      </c>
      <c r="Y14">
        <f>HYPERLINK("https://klasma.github.io/Logging_1763/kartor_geotiff/A 25020-2026 georefererad karta.tif", "A 25020-2026")</f>
        <v/>
      </c>
      <c r="AA14">
        <f>HYPERLINK("https://klasma.github.io/Logging_1763/klagomål/A 25020-2026 FSC-klagomål.docx", "A 25020-2026")</f>
        <v/>
      </c>
      <c r="AB14">
        <f>HYPERLINK("https://klasma.github.io/Logging_1763/klagomålsmail/A 25020-2026 FSC-klagomål mail.docx", "A 25020-2026")</f>
        <v/>
      </c>
      <c r="AC14">
        <f>HYPERLINK("https://klasma.github.io/Logging_1763/tillsyn/A 25020-2026 tillsynsbegäran.docx", "A 25020-2026")</f>
        <v/>
      </c>
      <c r="AD14">
        <f>HYPERLINK("https://klasma.github.io/Logging_1763/tillsynsmail/A 25020-2026 tillsynsbegäran mail.docx", "A 25020-2026")</f>
        <v/>
      </c>
    </row>
    <row r="15" ht="15" customHeight="1">
      <c r="A15" t="inlineStr">
        <is>
          <t>A 56532-2021</t>
        </is>
      </c>
      <c r="B15" t="inlineStr">
        <is>
          <t>avverkningsanmälan</t>
        </is>
      </c>
      <c r="C15" t="inlineStr">
        <is>
          <t>Avverkning för annat ändamål</t>
        </is>
      </c>
      <c r="D15" s="1" t="n">
        <v>44480</v>
      </c>
      <c r="E15" s="1" t="n">
        <v>46299</v>
      </c>
      <c r="F15" t="inlineStr">
        <is>
          <t>VÄRMLANDS LÄN</t>
        </is>
      </c>
      <c r="G15" t="inlineStr">
        <is>
          <t>FORSHAGA</t>
        </is>
      </c>
      <c r="I15" t="n">
        <v>0.3</v>
      </c>
      <c r="J15" t="n">
        <v>0</v>
      </c>
      <c r="K15" t="n">
        <v>0</v>
      </c>
      <c r="L15" t="n">
        <v>0</v>
      </c>
      <c r="M15" t="n">
        <v>1</v>
      </c>
      <c r="N15" t="n">
        <v>0</v>
      </c>
      <c r="O15" t="n">
        <v>0</v>
      </c>
      <c r="P15" t="n">
        <v>0</v>
      </c>
      <c r="Q15" t="n">
        <v>1</v>
      </c>
      <c r="R15" t="n">
        <v>1</v>
      </c>
      <c r="S15" t="n">
        <v>1</v>
      </c>
      <c r="T15" t="n">
        <v>1</v>
      </c>
      <c r="U15" t="n">
        <v>1</v>
      </c>
      <c r="V15" s="2" t="inlineStr">
        <is>
          <t>Igelkott</t>
        </is>
      </c>
      <c r="W15">
        <f>HYPERLINK("https://klasma.github.io/Logging_1763/artfynd/A 56532-2021 artfynd.xlsx", "A 56532-2021")</f>
        <v/>
      </c>
      <c r="X15">
        <f>HYPERLINK("https://klasma.github.io/Logging_1763/kartor/A 56532-2021 karta.png", "A 56532-2021")</f>
        <v/>
      </c>
      <c r="Y15">
        <f>HYPERLINK("https://klasma.github.io/Logging_1763/kartor_geotiff/A 56532-2021 georefererad karta.tif", "A 56532-2021")</f>
        <v/>
      </c>
      <c r="AA15">
        <f>HYPERLINK("https://klasma.github.io/Logging_1763/klagomål/A 56532-2021 FSC-klagomål.docx", "A 56532-2021")</f>
        <v/>
      </c>
      <c r="AB15">
        <f>HYPERLINK("https://klasma.github.io/Logging_1763/klagomålsmail/A 56532-2021 FSC-klagomål mail.docx", "A 56532-2021")</f>
        <v/>
      </c>
      <c r="AC15">
        <f>HYPERLINK("https://klasma.github.io/Logging_1763/tillsyn/A 56532-2021 tillsynsbegäran.docx", "A 56532-2021")</f>
        <v/>
      </c>
      <c r="AD15">
        <f>HYPERLINK("https://klasma.github.io/Logging_1763/tillsynsmail/A 56532-2021 tillsynsbegäran mail.docx", "A 56532-2021")</f>
        <v/>
      </c>
    </row>
    <row r="16" ht="15" customHeight="1">
      <c r="A16" t="inlineStr">
        <is>
          <t>A 6294-2022</t>
        </is>
      </c>
      <c r="B16" t="inlineStr">
        <is>
          <t>avverkningsanmälan</t>
        </is>
      </c>
      <c r="C16" t="inlineStr">
        <is>
          <t>Föryngringsavverkning</t>
        </is>
      </c>
      <c r="D16" s="1" t="n">
        <v>44601</v>
      </c>
      <c r="E16" s="1" t="n">
        <v>46299</v>
      </c>
      <c r="F16" t="inlineStr">
        <is>
          <t>VÄRMLANDS LÄN</t>
        </is>
      </c>
      <c r="G16" t="inlineStr">
        <is>
          <t>FORSHAGA</t>
        </is>
      </c>
      <c r="I16" t="n">
        <v>3.2</v>
      </c>
      <c r="J16" t="n">
        <v>1</v>
      </c>
      <c r="K16" t="n">
        <v>0</v>
      </c>
      <c r="L16" t="n">
        <v>0</v>
      </c>
      <c r="M16" t="n">
        <v>0</v>
      </c>
      <c r="N16" t="n">
        <v>0</v>
      </c>
      <c r="O16" t="n">
        <v>0</v>
      </c>
      <c r="P16" t="n">
        <v>0</v>
      </c>
      <c r="Q16" t="n">
        <v>0</v>
      </c>
      <c r="R16" t="n">
        <v>0</v>
      </c>
      <c r="S16" t="n">
        <v>1</v>
      </c>
      <c r="T16" t="n">
        <v>1</v>
      </c>
      <c r="U16" t="n">
        <v>1</v>
      </c>
      <c r="V16" s="2" t="inlineStr">
        <is>
          <t>Spillkråka</t>
        </is>
      </c>
      <c r="W16">
        <f>HYPERLINK("https://klasma.github.io/Logging_1763/artfynd/A 6294-2022 artfynd.xlsx", "A 6294-2022")</f>
        <v/>
      </c>
      <c r="X16">
        <f>HYPERLINK("https://klasma.github.io/Logging_1763/kartor/A 6294-2022 karta.png", "A 6294-2022")</f>
        <v/>
      </c>
      <c r="Y16">
        <f>HYPERLINK("https://klasma.github.io/Logging_1763/kartor_geotiff/A 6294-2022 georefererad karta.tif", "A 6294-2022")</f>
        <v/>
      </c>
      <c r="AA16">
        <f>HYPERLINK("https://klasma.github.io/Logging_1763/klagomål/A 6294-2022 FSC-klagomål.docx", "A 6294-2022")</f>
        <v/>
      </c>
      <c r="AB16">
        <f>HYPERLINK("https://klasma.github.io/Logging_1763/klagomålsmail/A 6294-2022 FSC-klagomål mail.docx", "A 6294-2022")</f>
        <v/>
      </c>
      <c r="AC16">
        <f>HYPERLINK("https://klasma.github.io/Logging_1763/tillsyn/A 6294-2022 tillsynsbegäran.docx", "A 6294-2022")</f>
        <v/>
      </c>
      <c r="AD16">
        <f>HYPERLINK("https://klasma.github.io/Logging_1763/tillsynsmail/A 6294-2022 tillsynsbegäran mail.docx", "A 6294-2022")</f>
        <v/>
      </c>
      <c r="AE16">
        <f>HYPERLINK("https://klasma.github.io/Logging_1763/fåglar/A 6294-2022 prioriterade fågelarter.docx", "A 6294-2022")</f>
        <v/>
      </c>
    </row>
    <row r="17" ht="15" customHeight="1">
      <c r="A17" t="inlineStr">
        <is>
          <t>A 13208-2023</t>
        </is>
      </c>
      <c r="B17" t="inlineStr">
        <is>
          <t>avverkningsanmälan</t>
        </is>
      </c>
      <c r="C17" t="inlineStr">
        <is>
          <t>Föryngringsavverkning</t>
        </is>
      </c>
      <c r="D17" s="1" t="n">
        <v>45002</v>
      </c>
      <c r="E17" s="1" t="n">
        <v>46299</v>
      </c>
      <c r="F17" t="inlineStr">
        <is>
          <t>VÄRMLANDS LÄN</t>
        </is>
      </c>
      <c r="G17" t="inlineStr">
        <is>
          <t>FORSHAGA</t>
        </is>
      </c>
      <c r="I17" t="n">
        <v>1.5</v>
      </c>
      <c r="J17" t="n">
        <v>1</v>
      </c>
      <c r="K17" t="n">
        <v>0</v>
      </c>
      <c r="L17" t="n">
        <v>0</v>
      </c>
      <c r="M17" t="n">
        <v>0</v>
      </c>
      <c r="N17" t="n">
        <v>0</v>
      </c>
      <c r="O17" t="n">
        <v>0</v>
      </c>
      <c r="P17" t="n">
        <v>0</v>
      </c>
      <c r="Q17" t="n">
        <v>0</v>
      </c>
      <c r="R17" t="n">
        <v>0</v>
      </c>
      <c r="S17" t="n">
        <v>1</v>
      </c>
      <c r="T17" t="n">
        <v>1</v>
      </c>
      <c r="U17" t="n">
        <v>0</v>
      </c>
      <c r="V17" s="2" t="inlineStr">
        <is>
          <t>Mindre flugsnappare</t>
        </is>
      </c>
      <c r="W17">
        <f>HYPERLINK("https://klasma.github.io/Logging_1763/artfynd/A 13208-2023 artfynd.xlsx", "A 13208-2023")</f>
        <v/>
      </c>
      <c r="X17">
        <f>HYPERLINK("https://klasma.github.io/Logging_1763/kartor/A 13208-2023 karta.png", "A 13208-2023")</f>
        <v/>
      </c>
      <c r="Y17">
        <f>HYPERLINK("https://klasma.github.io/Logging_1763/kartor_geotiff/A 13208-2023 georefererad karta.tif", "A 13208-2023")</f>
        <v/>
      </c>
      <c r="AA17">
        <f>HYPERLINK("https://klasma.github.io/Logging_1763/klagomål/A 13208-2023 FSC-klagomål.docx", "A 13208-2023")</f>
        <v/>
      </c>
      <c r="AB17">
        <f>HYPERLINK("https://klasma.github.io/Logging_1763/klagomålsmail/A 13208-2023 FSC-klagomål mail.docx", "A 13208-2023")</f>
        <v/>
      </c>
      <c r="AC17">
        <f>HYPERLINK("https://klasma.github.io/Logging_1763/tillsyn/A 13208-2023 tillsynsbegäran.docx", "A 13208-2023")</f>
        <v/>
      </c>
      <c r="AD17">
        <f>HYPERLINK("https://klasma.github.io/Logging_1763/tillsynsmail/A 13208-2023 tillsynsbegäran mail.docx", "A 13208-2023")</f>
        <v/>
      </c>
      <c r="AE17">
        <f>HYPERLINK("https://klasma.github.io/Logging_1763/fåglar/A 13208-2023 prioriterade fågelarter.docx", "A 13208-2023")</f>
        <v/>
      </c>
    </row>
    <row r="18" ht="15" customHeight="1">
      <c r="A18" t="inlineStr">
        <is>
          <t>A 60736-2022</t>
        </is>
      </c>
      <c r="B18" t="inlineStr">
        <is>
          <t>avverkningsanmälan</t>
        </is>
      </c>
      <c r="C18" t="inlineStr">
        <is>
          <t>Föryngringsavverkning</t>
        </is>
      </c>
      <c r="D18" s="1" t="n">
        <v>44913</v>
      </c>
      <c r="E18" s="1" t="n">
        <v>46299</v>
      </c>
      <c r="F18" t="inlineStr">
        <is>
          <t>VÄRMLANDS LÄN</t>
        </is>
      </c>
      <c r="G18" t="inlineStr">
        <is>
          <t>FORSHAGA</t>
        </is>
      </c>
      <c r="I18" t="n">
        <v>1.1</v>
      </c>
      <c r="J18" t="n">
        <v>1</v>
      </c>
      <c r="K18" t="n">
        <v>0</v>
      </c>
      <c r="L18" t="n">
        <v>1</v>
      </c>
      <c r="M18" t="n">
        <v>0</v>
      </c>
      <c r="N18" t="n">
        <v>0</v>
      </c>
      <c r="O18" t="n">
        <v>0</v>
      </c>
      <c r="P18" t="n">
        <v>0</v>
      </c>
      <c r="Q18" t="n">
        <v>1</v>
      </c>
      <c r="R18" t="n">
        <v>0</v>
      </c>
      <c r="S18" t="n">
        <v>1</v>
      </c>
      <c r="T18" t="n">
        <v>1</v>
      </c>
      <c r="U18" t="n">
        <v>1</v>
      </c>
      <c r="V18" s="2" t="inlineStr">
        <is>
          <t>Mindre hackspett</t>
        </is>
      </c>
      <c r="W18">
        <f>HYPERLINK("https://klasma.github.io/Logging_1763/artfynd/A 60736-2022 artfynd.xlsx", "A 60736-2022")</f>
        <v/>
      </c>
      <c r="X18">
        <f>HYPERLINK("https://klasma.github.io/Logging_1763/kartor/A 60736-2022 karta.png", "A 60736-2022")</f>
        <v/>
      </c>
      <c r="Y18">
        <f>HYPERLINK("https://klasma.github.io/Logging_1763/kartor_geotiff/A 60736-2022 georefererad karta.tif", "A 60736-2022")</f>
        <v/>
      </c>
      <c r="AA18">
        <f>HYPERLINK("https://klasma.github.io/Logging_1763/klagomål/A 60736-2022 FSC-klagomål.docx", "A 60736-2022")</f>
        <v/>
      </c>
      <c r="AB18">
        <f>HYPERLINK("https://klasma.github.io/Logging_1763/klagomålsmail/A 60736-2022 FSC-klagomål mail.docx", "A 60736-2022")</f>
        <v/>
      </c>
      <c r="AC18">
        <f>HYPERLINK("https://klasma.github.io/Logging_1763/tillsyn/A 60736-2022 tillsynsbegäran.docx", "A 60736-2022")</f>
        <v/>
      </c>
      <c r="AD18">
        <f>HYPERLINK("https://klasma.github.io/Logging_1763/tillsynsmail/A 60736-2022 tillsynsbegäran mail.docx", "A 60736-2022")</f>
        <v/>
      </c>
      <c r="AE18">
        <f>HYPERLINK("https://klasma.github.io/Logging_1763/fåglar/A 60736-2022 prioriterade fågelarter.docx", "A 60736-2022")</f>
        <v/>
      </c>
    </row>
    <row r="19" ht="15" customHeight="1">
      <c r="A19" t="inlineStr">
        <is>
          <t>A 45484-2023</t>
        </is>
      </c>
      <c r="B19" t="inlineStr">
        <is>
          <t>avverkningsanmälan</t>
        </is>
      </c>
      <c r="C19" t="inlineStr">
        <is>
          <t>Föryngringsavverkning</t>
        </is>
      </c>
      <c r="D19" s="1" t="n">
        <v>45188</v>
      </c>
      <c r="E19" s="1" t="n">
        <v>46299</v>
      </c>
      <c r="F19" t="inlineStr">
        <is>
          <t>VÄRMLANDS LÄN</t>
        </is>
      </c>
      <c r="G19" t="inlineStr">
        <is>
          <t>FORSHAGA</t>
        </is>
      </c>
      <c r="I19" t="n">
        <v>2.7</v>
      </c>
      <c r="J19" t="n">
        <v>0</v>
      </c>
      <c r="K19" t="n">
        <v>1</v>
      </c>
      <c r="L19" t="n">
        <v>0</v>
      </c>
      <c r="M19" t="n">
        <v>0</v>
      </c>
      <c r="N19" t="n">
        <v>0</v>
      </c>
      <c r="O19" t="n">
        <v>0</v>
      </c>
      <c r="P19" t="n">
        <v>0</v>
      </c>
      <c r="Q19" t="n">
        <v>0</v>
      </c>
      <c r="R19" t="n">
        <v>0</v>
      </c>
      <c r="S19" t="n">
        <v>1</v>
      </c>
      <c r="T19" t="n">
        <v>1</v>
      </c>
      <c r="U19" t="n">
        <v>0</v>
      </c>
      <c r="V19" s="2" t="inlineStr">
        <is>
          <t>Scharlakansvårskål agg.</t>
        </is>
      </c>
      <c r="W19">
        <f>HYPERLINK("https://klasma.github.io/Logging_1763/artfynd/A 45484-2023 artfynd.xlsx", "A 45484-2023")</f>
        <v/>
      </c>
      <c r="X19">
        <f>HYPERLINK("https://klasma.github.io/Logging_1763/kartor/A 45484-2023 karta.png", "A 45484-2023")</f>
        <v/>
      </c>
      <c r="Y19">
        <f>HYPERLINK("https://klasma.github.io/Logging_1763/kartor_geotiff/A 45484-2023 georefererad karta.tif", "A 45484-2023")</f>
        <v/>
      </c>
      <c r="AA19">
        <f>HYPERLINK("https://klasma.github.io/Logging_1763/klagomål/A 45484-2023 FSC-klagomål.docx", "A 45484-2023")</f>
        <v/>
      </c>
      <c r="AB19">
        <f>HYPERLINK("https://klasma.github.io/Logging_1763/klagomålsmail/A 45484-2023 FSC-klagomål mail.docx", "A 45484-2023")</f>
        <v/>
      </c>
      <c r="AC19">
        <f>HYPERLINK("https://klasma.github.io/Logging_1763/tillsyn/A 45484-2023 tillsynsbegäran.docx", "A 45484-2023")</f>
        <v/>
      </c>
      <c r="AD19">
        <f>HYPERLINK("https://klasma.github.io/Logging_1763/tillsynsmail/A 45484-2023 tillsynsbegäran mail.docx", "A 45484-2023")</f>
        <v/>
      </c>
    </row>
    <row r="20" ht="15" customHeight="1">
      <c r="A20" t="inlineStr">
        <is>
          <t>A 67321-2021</t>
        </is>
      </c>
      <c r="B20" t="inlineStr">
        <is>
          <t>avverkningsanmälan</t>
        </is>
      </c>
      <c r="C20" t="inlineStr">
        <is>
          <t>Föryngringsavverkning</t>
        </is>
      </c>
      <c r="D20" s="1" t="n">
        <v>44523</v>
      </c>
      <c r="E20" s="1" t="n">
        <v>46299</v>
      </c>
      <c r="F20" t="inlineStr">
        <is>
          <t>VÄRMLANDS LÄN</t>
        </is>
      </c>
      <c r="G20" t="inlineStr">
        <is>
          <t>FORSHAGA</t>
        </is>
      </c>
      <c r="I20" t="n">
        <v>4.6</v>
      </c>
      <c r="J20" t="n">
        <v>1</v>
      </c>
      <c r="K20" t="n">
        <v>0</v>
      </c>
      <c r="L20" t="n">
        <v>0</v>
      </c>
      <c r="M20" t="n">
        <v>0</v>
      </c>
      <c r="N20" t="n">
        <v>0</v>
      </c>
      <c r="O20" t="n">
        <v>0</v>
      </c>
      <c r="P20" t="n">
        <v>0</v>
      </c>
      <c r="Q20" t="n">
        <v>0</v>
      </c>
      <c r="R20" t="n">
        <v>0</v>
      </c>
      <c r="S20" t="n">
        <v>1</v>
      </c>
      <c r="T20" t="n">
        <v>1</v>
      </c>
      <c r="U20" t="n">
        <v>0</v>
      </c>
      <c r="V20" s="2" t="inlineStr">
        <is>
          <t>Blåsippa</t>
        </is>
      </c>
      <c r="W20">
        <f>HYPERLINK("https://klasma.github.io/Logging_1763/artfynd/A 67321-2021 artfynd.xlsx", "A 67321-2021")</f>
        <v/>
      </c>
      <c r="X20">
        <f>HYPERLINK("https://klasma.github.io/Logging_1763/kartor/A 67321-2021 karta.png", "A 67321-2021")</f>
        <v/>
      </c>
      <c r="Y20">
        <f>HYPERLINK("https://klasma.github.io/Logging_1763/kartor_geotiff/A 67321-2021 georefererad karta.tif", "A 67321-2021")</f>
        <v/>
      </c>
      <c r="AA20">
        <f>HYPERLINK("https://klasma.github.io/Logging_1763/klagomål/A 67321-2021 FSC-klagomål.docx", "A 67321-2021")</f>
        <v/>
      </c>
      <c r="AB20">
        <f>HYPERLINK("https://klasma.github.io/Logging_1763/klagomålsmail/A 67321-2021 FSC-klagomål mail.docx", "A 67321-2021")</f>
        <v/>
      </c>
      <c r="AC20">
        <f>HYPERLINK("https://klasma.github.io/Logging_1763/tillsyn/A 67321-2021 tillsynsbegäran.docx", "A 67321-2021")</f>
        <v/>
      </c>
      <c r="AD20">
        <f>HYPERLINK("https://klasma.github.io/Logging_1763/tillsynsmail/A 67321-2021 tillsynsbegäran mail.docx", "A 67321-2021")</f>
        <v/>
      </c>
    </row>
    <row r="21" ht="15" customHeight="1">
      <c r="A21" t="inlineStr">
        <is>
          <t>A 31980-2023</t>
        </is>
      </c>
      <c r="B21" t="inlineStr">
        <is>
          <t>avverkningsanmälan</t>
        </is>
      </c>
      <c r="C21" t="inlineStr">
        <is>
          <t>Avverkning för annat ändamål</t>
        </is>
      </c>
      <c r="D21" s="1" t="n">
        <v>45119</v>
      </c>
      <c r="E21" s="1" t="n">
        <v>46299</v>
      </c>
      <c r="F21" t="inlineStr">
        <is>
          <t>VÄRMLANDS LÄN</t>
        </is>
      </c>
      <c r="G21" t="inlineStr">
        <is>
          <t>FORSHAGA</t>
        </is>
      </c>
      <c r="H21" t="inlineStr">
        <is>
          <t>Bergvik skog väst AB</t>
        </is>
      </c>
      <c r="I21" t="n">
        <v>2.3</v>
      </c>
      <c r="J21" t="n">
        <v>0</v>
      </c>
      <c r="K21" t="n">
        <v>1</v>
      </c>
      <c r="L21" t="n">
        <v>0</v>
      </c>
      <c r="M21" t="n">
        <v>0</v>
      </c>
      <c r="N21" t="n">
        <v>0</v>
      </c>
      <c r="O21" t="n">
        <v>0</v>
      </c>
      <c r="P21" t="n">
        <v>0</v>
      </c>
      <c r="Q21" t="n">
        <v>0</v>
      </c>
      <c r="R21" t="n">
        <v>0</v>
      </c>
      <c r="S21" t="n">
        <v>1</v>
      </c>
      <c r="T21" t="n">
        <v>1</v>
      </c>
      <c r="U21" t="n">
        <v>0</v>
      </c>
      <c r="V21" s="2" t="inlineStr">
        <is>
          <t>Springkorn</t>
        </is>
      </c>
      <c r="W21">
        <f>HYPERLINK("https://klasma.github.io/Logging_1763/artfynd/A 31980-2023 artfynd.xlsx", "A 31980-2023")</f>
        <v/>
      </c>
      <c r="X21">
        <f>HYPERLINK("https://klasma.github.io/Logging_1763/kartor/A 31980-2023 karta.png", "A 31980-2023")</f>
        <v/>
      </c>
      <c r="Y21">
        <f>HYPERLINK("https://klasma.github.io/Logging_1763/kartor_geotiff/A 31980-2023 georefererad karta.tif", "A 31980-2023")</f>
        <v/>
      </c>
      <c r="AA21">
        <f>HYPERLINK("https://klasma.github.io/Logging_1763/klagomål/A 31980-2023 FSC-klagomål.docx", "A 31980-2023")</f>
        <v/>
      </c>
      <c r="AB21">
        <f>HYPERLINK("https://klasma.github.io/Logging_1763/klagomålsmail/A 31980-2023 FSC-klagomål mail.docx", "A 31980-2023")</f>
        <v/>
      </c>
      <c r="AC21">
        <f>HYPERLINK("https://klasma.github.io/Logging_1763/tillsyn/A 31980-2023 tillsynsbegäran.docx", "A 31980-2023")</f>
        <v/>
      </c>
      <c r="AD21">
        <f>HYPERLINK("https://klasma.github.io/Logging_1763/tillsynsmail/A 31980-2023 tillsynsbegäran mail.docx", "A 31980-2023")</f>
        <v/>
      </c>
    </row>
    <row r="22" ht="15" customHeight="1">
      <c r="A22" t="inlineStr">
        <is>
          <t>A 53706-2022</t>
        </is>
      </c>
      <c r="B22" t="inlineStr">
        <is>
          <t>avverkningsanmälan</t>
        </is>
      </c>
      <c r="C22" t="inlineStr">
        <is>
          <t>Föryngringsavverkning</t>
        </is>
      </c>
      <c r="D22" s="1" t="n">
        <v>44880</v>
      </c>
      <c r="E22" s="1" t="n">
        <v>46299</v>
      </c>
      <c r="F22" t="inlineStr">
        <is>
          <t>VÄRMLANDS LÄN</t>
        </is>
      </c>
      <c r="G22" t="inlineStr">
        <is>
          <t>FORSHAGA</t>
        </is>
      </c>
      <c r="H22" t="inlineStr">
        <is>
          <t>Bergvik skog väst AB</t>
        </is>
      </c>
      <c r="I22" t="n">
        <v>17.7</v>
      </c>
      <c r="J22" t="n">
        <v>0</v>
      </c>
      <c r="K22" t="n">
        <v>0</v>
      </c>
      <c r="L22" t="n">
        <v>1</v>
      </c>
      <c r="M22" t="n">
        <v>0</v>
      </c>
      <c r="N22" t="n">
        <v>0</v>
      </c>
      <c r="O22" t="n">
        <v>0</v>
      </c>
      <c r="P22" t="n">
        <v>0</v>
      </c>
      <c r="Q22" t="n">
        <v>1</v>
      </c>
      <c r="R22" t="n">
        <v>0</v>
      </c>
      <c r="S22" t="n">
        <v>1</v>
      </c>
      <c r="T22" t="n">
        <v>1</v>
      </c>
      <c r="U22" t="n">
        <v>0</v>
      </c>
      <c r="V22" s="2" t="inlineStr">
        <is>
          <t>Gullpudra</t>
        </is>
      </c>
      <c r="W22">
        <f>HYPERLINK("https://klasma.github.io/Logging_1763/artfynd/A 53706-2022 artfynd.xlsx", "A 53706-2022")</f>
        <v/>
      </c>
      <c r="X22">
        <f>HYPERLINK("https://klasma.github.io/Logging_1763/kartor/A 53706-2022 karta.png", "A 53706-2022")</f>
        <v/>
      </c>
      <c r="Y22">
        <f>HYPERLINK("https://klasma.github.io/Logging_1763/kartor_geotiff/A 53706-2022 georefererad karta.tif", "A 53706-2022")</f>
        <v/>
      </c>
      <c r="AA22">
        <f>HYPERLINK("https://klasma.github.io/Logging_1763/klagomål/A 53706-2022 FSC-klagomål.docx", "A 53706-2022")</f>
        <v/>
      </c>
      <c r="AB22">
        <f>HYPERLINK("https://klasma.github.io/Logging_1763/klagomålsmail/A 53706-2022 FSC-klagomål mail.docx", "A 53706-2022")</f>
        <v/>
      </c>
      <c r="AC22">
        <f>HYPERLINK("https://klasma.github.io/Logging_1763/tillsyn/A 53706-2022 tillsynsbegäran.docx", "A 53706-2022")</f>
        <v/>
      </c>
      <c r="AD22">
        <f>HYPERLINK("https://klasma.github.io/Logging_1763/tillsynsmail/A 53706-2022 tillsynsbegäran mail.docx", "A 53706-2022")</f>
        <v/>
      </c>
    </row>
    <row r="23" ht="15" customHeight="1">
      <c r="A23" t="inlineStr">
        <is>
          <t>A 35334-2024</t>
        </is>
      </c>
      <c r="B23" t="inlineStr">
        <is>
          <t>avverkningsanmälan</t>
        </is>
      </c>
      <c r="C23" t="inlineStr">
        <is>
          <t>Föryngringsavverkning</t>
        </is>
      </c>
      <c r="D23" s="1" t="n">
        <v>45530</v>
      </c>
      <c r="E23" s="1" t="n">
        <v>46299</v>
      </c>
      <c r="F23" t="inlineStr">
        <is>
          <t>VÄRMLANDS LÄN</t>
        </is>
      </c>
      <c r="G23" t="inlineStr">
        <is>
          <t>FORSHAGA</t>
        </is>
      </c>
      <c r="H23" t="inlineStr">
        <is>
          <t>Kommuner</t>
        </is>
      </c>
      <c r="I23" t="n">
        <v>3.2</v>
      </c>
      <c r="J23" t="n">
        <v>1</v>
      </c>
      <c r="K23" t="n">
        <v>0</v>
      </c>
      <c r="L23" t="n">
        <v>0</v>
      </c>
      <c r="M23" t="n">
        <v>0</v>
      </c>
      <c r="N23" t="n">
        <v>0</v>
      </c>
      <c r="O23" t="n">
        <v>0</v>
      </c>
      <c r="P23" t="n">
        <v>0</v>
      </c>
      <c r="Q23" t="n">
        <v>0</v>
      </c>
      <c r="R23" t="n">
        <v>0</v>
      </c>
      <c r="S23" t="n">
        <v>1</v>
      </c>
      <c r="T23" t="n">
        <v>1</v>
      </c>
      <c r="U23" t="n">
        <v>0</v>
      </c>
      <c r="V23" s="2" t="inlineStr">
        <is>
          <t>Nattviol</t>
        </is>
      </c>
      <c r="W23">
        <f>HYPERLINK("https://klasma.github.io/Logging_1763/artfynd/A 35334-2024 artfynd.xlsx", "A 35334-2024")</f>
        <v/>
      </c>
      <c r="X23">
        <f>HYPERLINK("https://klasma.github.io/Logging_1763/kartor/A 35334-2024 karta.png", "A 35334-2024")</f>
        <v/>
      </c>
      <c r="Y23">
        <f>HYPERLINK("https://klasma.github.io/Logging_1763/kartor_geotiff/A 35334-2024 georefererad karta.tif", "A 35334-2024")</f>
        <v/>
      </c>
      <c r="AA23">
        <f>HYPERLINK("https://klasma.github.io/Logging_1763/klagomål/A 35334-2024 FSC-klagomål.docx", "A 35334-2024")</f>
        <v/>
      </c>
      <c r="AB23">
        <f>HYPERLINK("https://klasma.github.io/Logging_1763/klagomålsmail/A 35334-2024 FSC-klagomål mail.docx", "A 35334-2024")</f>
        <v/>
      </c>
      <c r="AC23">
        <f>HYPERLINK("https://klasma.github.io/Logging_1763/tillsyn/A 35334-2024 tillsynsbegäran.docx", "A 35334-2024")</f>
        <v/>
      </c>
      <c r="AD23">
        <f>HYPERLINK("https://klasma.github.io/Logging_1763/tillsynsmail/A 35334-2024 tillsynsbegäran mail.docx", "A 35334-2024")</f>
        <v/>
      </c>
    </row>
    <row r="24" ht="15" customHeight="1">
      <c r="A24" t="inlineStr">
        <is>
          <t>A 46620-2024</t>
        </is>
      </c>
      <c r="B24" t="inlineStr">
        <is>
          <t>avverkningsanmälan</t>
        </is>
      </c>
      <c r="C24" t="inlineStr">
        <is>
          <t>Föryngringsavverkning</t>
        </is>
      </c>
      <c r="D24" s="1" t="n">
        <v>45583</v>
      </c>
      <c r="E24" s="1" t="n">
        <v>46299</v>
      </c>
      <c r="F24" t="inlineStr">
        <is>
          <t>VÄRMLANDS LÄN</t>
        </is>
      </c>
      <c r="G24" t="inlineStr">
        <is>
          <t>FORSHAGA</t>
        </is>
      </c>
      <c r="I24" t="n">
        <v>2.5</v>
      </c>
      <c r="J24" t="n">
        <v>1</v>
      </c>
      <c r="K24" t="n">
        <v>0</v>
      </c>
      <c r="L24" t="n">
        <v>0</v>
      </c>
      <c r="M24" t="n">
        <v>0</v>
      </c>
      <c r="N24" t="n">
        <v>0</v>
      </c>
      <c r="O24" t="n">
        <v>0</v>
      </c>
      <c r="P24" t="n">
        <v>0</v>
      </c>
      <c r="Q24" t="n">
        <v>0</v>
      </c>
      <c r="R24" t="n">
        <v>0</v>
      </c>
      <c r="S24" t="n">
        <v>1</v>
      </c>
      <c r="T24" t="n">
        <v>2</v>
      </c>
      <c r="U24" t="n">
        <v>0</v>
      </c>
      <c r="V24" s="2" t="inlineStr">
        <is>
          <t>Mattlummer</t>
        </is>
      </c>
      <c r="W24">
        <f>HYPERLINK("https://klasma.github.io/Logging_1763/artfynd/A 46620-2024 artfynd.xlsx", "A 46620-2024")</f>
        <v/>
      </c>
      <c r="X24">
        <f>HYPERLINK("https://klasma.github.io/Logging_1763/kartor/A 46620-2024 karta.png", "A 46620-2024")</f>
        <v/>
      </c>
      <c r="Y24">
        <f>HYPERLINK("https://klasma.github.io/Logging_1763/kartor_geotiff/A 46620-2024 georefererad karta.tif", "A 46620-2024")</f>
        <v/>
      </c>
      <c r="AA24">
        <f>HYPERLINK("https://klasma.github.io/Logging_1763/klagomål/A 46620-2024 FSC-klagomål.docx", "A 46620-2024")</f>
        <v/>
      </c>
      <c r="AB24">
        <f>HYPERLINK("https://klasma.github.io/Logging_1763/klagomålsmail/A 46620-2024 FSC-klagomål mail.docx", "A 46620-2024")</f>
        <v/>
      </c>
      <c r="AC24">
        <f>HYPERLINK("https://klasma.github.io/Logging_1763/tillsyn/A 46620-2024 tillsynsbegäran.docx", "A 46620-2024")</f>
        <v/>
      </c>
      <c r="AD24">
        <f>HYPERLINK("https://klasma.github.io/Logging_1763/tillsynsmail/A 46620-2024 tillsynsbegäran mail.docx", "A 46620-2024")</f>
        <v/>
      </c>
    </row>
    <row r="25" ht="15" customHeight="1">
      <c r="A25" t="inlineStr">
        <is>
          <t>A 35573-2023</t>
        </is>
      </c>
      <c r="B25" t="inlineStr">
        <is>
          <t>avverkningsanmälan</t>
        </is>
      </c>
      <c r="C25" t="inlineStr">
        <is>
          <t>Föryngringsavverkning</t>
        </is>
      </c>
      <c r="D25" s="1" t="n">
        <v>45147</v>
      </c>
      <c r="E25" s="1" t="n">
        <v>46299</v>
      </c>
      <c r="F25" t="inlineStr">
        <is>
          <t>VÄRMLANDS LÄN</t>
        </is>
      </c>
      <c r="G25" t="inlineStr">
        <is>
          <t>FORSHAGA</t>
        </is>
      </c>
      <c r="H25" t="inlineStr">
        <is>
          <t>Kommuner</t>
        </is>
      </c>
      <c r="I25" t="n">
        <v>3</v>
      </c>
      <c r="J25" t="n">
        <v>1</v>
      </c>
      <c r="K25" t="n">
        <v>0</v>
      </c>
      <c r="L25" t="n">
        <v>0</v>
      </c>
      <c r="M25" t="n">
        <v>0</v>
      </c>
      <c r="N25" t="n">
        <v>0</v>
      </c>
      <c r="O25" t="n">
        <v>0</v>
      </c>
      <c r="P25" t="n">
        <v>0</v>
      </c>
      <c r="Q25" t="n">
        <v>0</v>
      </c>
      <c r="R25" t="n">
        <v>0</v>
      </c>
      <c r="S25" t="n">
        <v>1</v>
      </c>
      <c r="T25" t="n">
        <v>1</v>
      </c>
      <c r="U25" t="n">
        <v>1</v>
      </c>
      <c r="V25" s="2" t="inlineStr">
        <is>
          <t>Fläcknycklar</t>
        </is>
      </c>
      <c r="W25">
        <f>HYPERLINK("https://klasma.github.io/Logging_1763/artfynd/A 35573-2023 artfynd.xlsx", "A 35573-2023")</f>
        <v/>
      </c>
      <c r="X25">
        <f>HYPERLINK("https://klasma.github.io/Logging_1763/kartor/A 35573-2023 karta.png", "A 35573-2023")</f>
        <v/>
      </c>
      <c r="Y25">
        <f>HYPERLINK("https://klasma.github.io/Logging_1763/kartor_geotiff/A 35573-2023 georefererad karta.tif", "A 35573-2023")</f>
        <v/>
      </c>
      <c r="AA25">
        <f>HYPERLINK("https://klasma.github.io/Logging_1763/klagomål/A 35573-2023 FSC-klagomål.docx", "A 35573-2023")</f>
        <v/>
      </c>
      <c r="AB25">
        <f>HYPERLINK("https://klasma.github.io/Logging_1763/klagomålsmail/A 35573-2023 FSC-klagomål mail.docx", "A 35573-2023")</f>
        <v/>
      </c>
      <c r="AC25">
        <f>HYPERLINK("https://klasma.github.io/Logging_1763/tillsyn/A 35573-2023 tillsynsbegäran.docx", "A 35573-2023")</f>
        <v/>
      </c>
      <c r="AD25">
        <f>HYPERLINK("https://klasma.github.io/Logging_1763/tillsynsmail/A 35573-2023 tillsynsbegäran mail.docx", "A 35573-2023")</f>
        <v/>
      </c>
    </row>
    <row r="26" ht="15" customHeight="1">
      <c r="A26" t="inlineStr">
        <is>
          <t>S 107-2026</t>
        </is>
      </c>
      <c r="B26" t="inlineStr">
        <is>
          <t>samrådsanmälan</t>
        </is>
      </c>
      <c r="C26" t="inlineStr">
        <is>
          <t>Skogsgödsling</t>
        </is>
      </c>
      <c r="D26" s="1" t="n">
        <v>46037</v>
      </c>
      <c r="E26" s="1" t="n">
        <v>46299</v>
      </c>
      <c r="F26" t="inlineStr">
        <is>
          <t>VÄRMLANDS LÄN</t>
        </is>
      </c>
      <c r="G26" t="inlineStr">
        <is>
          <t>FORSHAGA</t>
        </is>
      </c>
      <c r="H26" t="inlineStr">
        <is>
          <t>Bergvik skog väst AB</t>
        </is>
      </c>
      <c r="I26" t="n">
        <v>111.4</v>
      </c>
      <c r="J26" t="n">
        <v>1</v>
      </c>
      <c r="K26" t="n">
        <v>0</v>
      </c>
      <c r="L26" t="n">
        <v>0</v>
      </c>
      <c r="M26" t="n">
        <v>0</v>
      </c>
      <c r="N26" t="n">
        <v>0</v>
      </c>
      <c r="O26" t="n">
        <v>0</v>
      </c>
      <c r="P26" t="n">
        <v>0</v>
      </c>
      <c r="Q26" t="n">
        <v>0</v>
      </c>
      <c r="R26" t="n">
        <v>0</v>
      </c>
      <c r="S26" t="n">
        <v>1</v>
      </c>
      <c r="T26" t="n">
        <v>1</v>
      </c>
      <c r="U26" t="n">
        <v>0</v>
      </c>
      <c r="V26" s="2" t="inlineStr">
        <is>
          <t>Spillkråka</t>
        </is>
      </c>
      <c r="W26">
        <f>HYPERLINK("https://klasma.github.io/Logging_1763/artfynd/S 107-2026 artfynd.xlsx", "S 107-2026")</f>
        <v/>
      </c>
      <c r="X26">
        <f>HYPERLINK("https://klasma.github.io/Logging_1763/kartor/S 107-2026 karta.png", "S 107-2026")</f>
        <v/>
      </c>
      <c r="Y26">
        <f>HYPERLINK("https://klasma.github.io/Logging_1763/kartor_geotiff/S 107-2026 georefererad karta.tif", "S 107-2026")</f>
        <v/>
      </c>
      <c r="AA26">
        <f>HYPERLINK("https://klasma.github.io/Logging_1763/klagomål/S 107-2026 FSC-klagomål.docx", "S 107-2026")</f>
        <v/>
      </c>
      <c r="AB26">
        <f>HYPERLINK("https://klasma.github.io/Logging_1763/klagomålsmail/S 107-2026 FSC-klagomål mail.docx", "S 107-2026")</f>
        <v/>
      </c>
      <c r="AC26">
        <f>HYPERLINK("https://klasma.github.io/Logging_1763/tillsyn/S 107-2026 tillsynsbegäran.docx", "S 107-2026")</f>
        <v/>
      </c>
      <c r="AD26">
        <f>HYPERLINK("https://klasma.github.io/Logging_1763/tillsynsmail/S 107-2026 tillsynsbegäran mail.docx", "S 107-2026")</f>
        <v/>
      </c>
      <c r="AE26">
        <f>HYPERLINK("https://klasma.github.io/Logging_1763/fåglar/S 107-2026 prioriterade fågelarter.docx", "S 107-2026")</f>
        <v/>
      </c>
    </row>
    <row r="27" ht="15" customHeight="1">
      <c r="A27" t="inlineStr">
        <is>
          <t>A 72688-2021</t>
        </is>
      </c>
      <c r="B27" t="inlineStr">
        <is>
          <t>avverkningsanmälan</t>
        </is>
      </c>
      <c r="C27" t="inlineStr">
        <is>
          <t>Föryngringsavverkning</t>
        </is>
      </c>
      <c r="D27" s="1" t="n">
        <v>44546</v>
      </c>
      <c r="E27" s="1" t="n">
        <v>46299</v>
      </c>
      <c r="F27" t="inlineStr">
        <is>
          <t>VÄRMLANDS LÄN</t>
        </is>
      </c>
      <c r="G27" t="inlineStr">
        <is>
          <t>FORSHAGA</t>
        </is>
      </c>
      <c r="I27" t="n">
        <v>1.3</v>
      </c>
      <c r="J27" t="n">
        <v>0</v>
      </c>
      <c r="K27" t="n">
        <v>0</v>
      </c>
      <c r="L27" t="n">
        <v>0</v>
      </c>
      <c r="M27" t="n">
        <v>0</v>
      </c>
      <c r="N27" t="n">
        <v>0</v>
      </c>
      <c r="O27" t="n">
        <v>0</v>
      </c>
      <c r="P27" t="n">
        <v>0</v>
      </c>
      <c r="Q27" t="n">
        <v>0</v>
      </c>
      <c r="R27" t="n">
        <v>0</v>
      </c>
      <c r="S27" t="n">
        <v>0</v>
      </c>
      <c r="T27" t="n">
        <v>0</v>
      </c>
      <c r="U27" t="n">
        <v>0</v>
      </c>
      <c r="V27" s="2" t="inlineStr"/>
    </row>
    <row r="28" ht="15" customHeight="1">
      <c r="A28" t="inlineStr">
        <is>
          <t>A 72991-2021</t>
        </is>
      </c>
      <c r="B28" t="inlineStr">
        <is>
          <t>avverkningsanmälan</t>
        </is>
      </c>
      <c r="C28" t="inlineStr">
        <is>
          <t>Föryngringsavverkning</t>
        </is>
      </c>
      <c r="D28" s="1" t="n">
        <v>44549</v>
      </c>
      <c r="E28" s="1" t="n">
        <v>46299</v>
      </c>
      <c r="F28" t="inlineStr">
        <is>
          <t>VÄRMLANDS LÄN</t>
        </is>
      </c>
      <c r="G28" t="inlineStr">
        <is>
          <t>FORSHAGA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9349-2022</t>
        </is>
      </c>
      <c r="B29" t="inlineStr">
        <is>
          <t>avverkningsanmälan</t>
        </is>
      </c>
      <c r="C29" t="inlineStr">
        <is>
          <t>Föryngringsavverkning</t>
        </is>
      </c>
      <c r="D29" s="1" t="n">
        <v>44616</v>
      </c>
      <c r="E29" s="1" t="n">
        <v>46299</v>
      </c>
      <c r="F29" t="inlineStr">
        <is>
          <t>VÄRMLANDS LÄN</t>
        </is>
      </c>
      <c r="G29" t="inlineStr">
        <is>
          <t>FORSHAGA</t>
        </is>
      </c>
      <c r="I29" t="n">
        <v>2.6</v>
      </c>
      <c r="J29" t="n">
        <v>0</v>
      </c>
      <c r="K29" t="n">
        <v>0</v>
      </c>
      <c r="L29" t="n">
        <v>0</v>
      </c>
      <c r="M29" t="n">
        <v>0</v>
      </c>
      <c r="N29" t="n">
        <v>0</v>
      </c>
      <c r="O29" t="n">
        <v>0</v>
      </c>
      <c r="P29" t="n">
        <v>0</v>
      </c>
      <c r="Q29" t="n">
        <v>0</v>
      </c>
      <c r="R29" t="n">
        <v>0</v>
      </c>
      <c r="S29" t="n">
        <v>0</v>
      </c>
      <c r="T29" t="n">
        <v>0</v>
      </c>
      <c r="U29" t="n">
        <v>0</v>
      </c>
      <c r="V29" s="2" t="inlineStr"/>
    </row>
    <row r="30" ht="15" customHeight="1">
      <c r="A30" t="inlineStr">
        <is>
          <t>A 33951-2022</t>
        </is>
      </c>
      <c r="B30" t="inlineStr">
        <is>
          <t>avverkningsanmälan</t>
        </is>
      </c>
      <c r="C30" t="inlineStr">
        <is>
          <t>Föryngringsavverkning</t>
        </is>
      </c>
      <c r="D30" s="1" t="n">
        <v>44790</v>
      </c>
      <c r="E30" s="1" t="n">
        <v>46299</v>
      </c>
      <c r="F30" t="inlineStr">
        <is>
          <t>VÄRMLANDS LÄN</t>
        </is>
      </c>
      <c r="G30" t="inlineStr">
        <is>
          <t>FORSHAGA</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7828-2022</t>
        </is>
      </c>
      <c r="B31" t="inlineStr">
        <is>
          <t>avverkningsanmälan</t>
        </is>
      </c>
      <c r="C31" t="inlineStr">
        <is>
          <t>Avverkning för annat ändamål</t>
        </is>
      </c>
      <c r="D31" s="1" t="n">
        <v>44608</v>
      </c>
      <c r="E31" s="1" t="n">
        <v>46299</v>
      </c>
      <c r="F31" t="inlineStr">
        <is>
          <t>VÄRMLANDS LÄN</t>
        </is>
      </c>
      <c r="G31" t="inlineStr">
        <is>
          <t>FORSHAGA</t>
        </is>
      </c>
      <c r="I31" t="n">
        <v>0.7</v>
      </c>
      <c r="J31" t="n">
        <v>0</v>
      </c>
      <c r="K31" t="n">
        <v>0</v>
      </c>
      <c r="L31" t="n">
        <v>0</v>
      </c>
      <c r="M31" t="n">
        <v>0</v>
      </c>
      <c r="N31" t="n">
        <v>0</v>
      </c>
      <c r="O31" t="n">
        <v>0</v>
      </c>
      <c r="P31" t="n">
        <v>0</v>
      </c>
      <c r="Q31" t="n">
        <v>0</v>
      </c>
      <c r="R31" t="n">
        <v>0</v>
      </c>
      <c r="S31" t="n">
        <v>0</v>
      </c>
      <c r="T31" t="n">
        <v>0</v>
      </c>
      <c r="U31" t="n">
        <v>0</v>
      </c>
      <c r="V31" s="2" t="inlineStr"/>
    </row>
    <row r="32" ht="15" customHeight="1">
      <c r="A32" t="inlineStr">
        <is>
          <t>A 9271-2022</t>
        </is>
      </c>
      <c r="B32" t="inlineStr">
        <is>
          <t>avverkningsanmälan</t>
        </is>
      </c>
      <c r="C32" t="inlineStr">
        <is>
          <t>Föryngringsavverkning</t>
        </is>
      </c>
      <c r="D32" s="1" t="n">
        <v>44616</v>
      </c>
      <c r="E32" s="1" t="n">
        <v>46299</v>
      </c>
      <c r="F32" t="inlineStr">
        <is>
          <t>VÄRMLANDS LÄN</t>
        </is>
      </c>
      <c r="G32" t="inlineStr">
        <is>
          <t>FORSHAGA</t>
        </is>
      </c>
      <c r="I32" t="n">
        <v>0.4</v>
      </c>
      <c r="J32" t="n">
        <v>0</v>
      </c>
      <c r="K32" t="n">
        <v>0</v>
      </c>
      <c r="L32" t="n">
        <v>0</v>
      </c>
      <c r="M32" t="n">
        <v>0</v>
      </c>
      <c r="N32" t="n">
        <v>0</v>
      </c>
      <c r="O32" t="n">
        <v>0</v>
      </c>
      <c r="P32" t="n">
        <v>0</v>
      </c>
      <c r="Q32" t="n">
        <v>0</v>
      </c>
      <c r="R32" t="n">
        <v>0</v>
      </c>
      <c r="S32" t="n">
        <v>0</v>
      </c>
      <c r="T32" t="n">
        <v>0</v>
      </c>
      <c r="U32" t="n">
        <v>0</v>
      </c>
      <c r="V32" s="2" t="inlineStr"/>
    </row>
    <row r="33" ht="15" customHeight="1">
      <c r="A33" t="inlineStr">
        <is>
          <t>A 24414-2022</t>
        </is>
      </c>
      <c r="B33" t="inlineStr">
        <is>
          <t>avverkningsanmälan</t>
        </is>
      </c>
      <c r="C33" t="inlineStr">
        <is>
          <t>Föryngringsavverkning</t>
        </is>
      </c>
      <c r="D33" s="1" t="n">
        <v>44726</v>
      </c>
      <c r="E33" s="1" t="n">
        <v>46299</v>
      </c>
      <c r="F33" t="inlineStr">
        <is>
          <t>VÄRMLANDS LÄN</t>
        </is>
      </c>
      <c r="G33" t="inlineStr">
        <is>
          <t>FORSHAGA</t>
        </is>
      </c>
      <c r="I33" t="n">
        <v>0.6</v>
      </c>
      <c r="J33" t="n">
        <v>0</v>
      </c>
      <c r="K33" t="n">
        <v>0</v>
      </c>
      <c r="L33" t="n">
        <v>0</v>
      </c>
      <c r="M33" t="n">
        <v>0</v>
      </c>
      <c r="N33" t="n">
        <v>0</v>
      </c>
      <c r="O33" t="n">
        <v>0</v>
      </c>
      <c r="P33" t="n">
        <v>0</v>
      </c>
      <c r="Q33" t="n">
        <v>0</v>
      </c>
      <c r="R33" t="n">
        <v>0</v>
      </c>
      <c r="S33" t="n">
        <v>0</v>
      </c>
      <c r="T33" t="n">
        <v>0</v>
      </c>
      <c r="U33" t="n">
        <v>0</v>
      </c>
      <c r="V33" s="2" t="inlineStr"/>
    </row>
    <row r="34" ht="15" customHeight="1">
      <c r="A34" t="inlineStr">
        <is>
          <t>A 53910-2022</t>
        </is>
      </c>
      <c r="B34" t="inlineStr">
        <is>
          <t>avverkningsanmälan</t>
        </is>
      </c>
      <c r="C34" t="inlineStr">
        <is>
          <t>Föryngringsavverkning</t>
        </is>
      </c>
      <c r="D34" s="1" t="n">
        <v>44880</v>
      </c>
      <c r="E34" s="1" t="n">
        <v>46299</v>
      </c>
      <c r="F34" t="inlineStr">
        <is>
          <t>VÄRMLANDS LÄN</t>
        </is>
      </c>
      <c r="G34" t="inlineStr">
        <is>
          <t>FORSHAGA</t>
        </is>
      </c>
      <c r="I34" t="n">
        <v>1.4</v>
      </c>
      <c r="J34" t="n">
        <v>0</v>
      </c>
      <c r="K34" t="n">
        <v>0</v>
      </c>
      <c r="L34" t="n">
        <v>0</v>
      </c>
      <c r="M34" t="n">
        <v>0</v>
      </c>
      <c r="N34" t="n">
        <v>0</v>
      </c>
      <c r="O34" t="n">
        <v>0</v>
      </c>
      <c r="P34" t="n">
        <v>0</v>
      </c>
      <c r="Q34" t="n">
        <v>0</v>
      </c>
      <c r="R34" t="n">
        <v>0</v>
      </c>
      <c r="S34" t="n">
        <v>0</v>
      </c>
      <c r="T34" t="n">
        <v>0</v>
      </c>
      <c r="U34" t="n">
        <v>0</v>
      </c>
      <c r="V34" s="2" t="inlineStr"/>
    </row>
    <row r="35" ht="15" customHeight="1">
      <c r="A35" t="inlineStr">
        <is>
          <t>A 63739-2021</t>
        </is>
      </c>
      <c r="B35" t="inlineStr">
        <is>
          <t>avverkningsanmälan</t>
        </is>
      </c>
      <c r="C35" t="inlineStr">
        <is>
          <t>Föryngringsavverkning</t>
        </is>
      </c>
      <c r="D35" s="1" t="n">
        <v>44509</v>
      </c>
      <c r="E35" s="1" t="n">
        <v>46299</v>
      </c>
      <c r="F35" t="inlineStr">
        <is>
          <t>VÄRMLANDS LÄN</t>
        </is>
      </c>
      <c r="G35" t="inlineStr">
        <is>
          <t>FORSHAGA</t>
        </is>
      </c>
      <c r="I35" t="n">
        <v>4.1</v>
      </c>
      <c r="J35" t="n">
        <v>0</v>
      </c>
      <c r="K35" t="n">
        <v>0</v>
      </c>
      <c r="L35" t="n">
        <v>0</v>
      </c>
      <c r="M35" t="n">
        <v>0</v>
      </c>
      <c r="N35" t="n">
        <v>0</v>
      </c>
      <c r="O35" t="n">
        <v>0</v>
      </c>
      <c r="P35" t="n">
        <v>0</v>
      </c>
      <c r="Q35" t="n">
        <v>0</v>
      </c>
      <c r="R35" t="n">
        <v>0</v>
      </c>
      <c r="S35" t="n">
        <v>0</v>
      </c>
      <c r="T35" t="n">
        <v>0</v>
      </c>
      <c r="U35" t="n">
        <v>0</v>
      </c>
      <c r="V35" s="2" t="inlineStr"/>
    </row>
    <row r="36" ht="15" customHeight="1">
      <c r="A36" t="inlineStr">
        <is>
          <t>A 67179-2021</t>
        </is>
      </c>
      <c r="B36" t="inlineStr">
        <is>
          <t>avverkningsanmälan</t>
        </is>
      </c>
      <c r="C36" t="inlineStr">
        <is>
          <t>Föryngringsavverkning</t>
        </is>
      </c>
      <c r="D36" s="1" t="n">
        <v>44523</v>
      </c>
      <c r="E36" s="1" t="n">
        <v>46299</v>
      </c>
      <c r="F36" t="inlineStr">
        <is>
          <t>VÄRMLANDS LÄN</t>
        </is>
      </c>
      <c r="G36" t="inlineStr">
        <is>
          <t>FORSHAGA</t>
        </is>
      </c>
      <c r="I36" t="n">
        <v>0.9</v>
      </c>
      <c r="J36" t="n">
        <v>0</v>
      </c>
      <c r="K36" t="n">
        <v>0</v>
      </c>
      <c r="L36" t="n">
        <v>0</v>
      </c>
      <c r="M36" t="n">
        <v>0</v>
      </c>
      <c r="N36" t="n">
        <v>0</v>
      </c>
      <c r="O36" t="n">
        <v>0</v>
      </c>
      <c r="P36" t="n">
        <v>0</v>
      </c>
      <c r="Q36" t="n">
        <v>0</v>
      </c>
      <c r="R36" t="n">
        <v>0</v>
      </c>
      <c r="S36" t="n">
        <v>0</v>
      </c>
      <c r="T36" t="n">
        <v>0</v>
      </c>
      <c r="U36" t="n">
        <v>0</v>
      </c>
      <c r="V36" s="2" t="inlineStr"/>
    </row>
    <row r="37" ht="15" customHeight="1">
      <c r="A37" t="inlineStr">
        <is>
          <t>A 5758-2022</t>
        </is>
      </c>
      <c r="B37" t="inlineStr">
        <is>
          <t>avverkningsanmälan</t>
        </is>
      </c>
      <c r="C37" t="inlineStr">
        <is>
          <t>Föryngringsavverkning</t>
        </is>
      </c>
      <c r="D37" s="1" t="n">
        <v>44596</v>
      </c>
      <c r="E37" s="1" t="n">
        <v>46299</v>
      </c>
      <c r="F37" t="inlineStr">
        <is>
          <t>VÄRMLANDS LÄN</t>
        </is>
      </c>
      <c r="G37" t="inlineStr">
        <is>
          <t>FORSHAGA</t>
        </is>
      </c>
      <c r="H37" t="inlineStr">
        <is>
          <t>Bergvik skog väst AB</t>
        </is>
      </c>
      <c r="I37" t="n">
        <v>3.1</v>
      </c>
      <c r="J37" t="n">
        <v>0</v>
      </c>
      <c r="K37" t="n">
        <v>0</v>
      </c>
      <c r="L37" t="n">
        <v>0</v>
      </c>
      <c r="M37" t="n">
        <v>0</v>
      </c>
      <c r="N37" t="n">
        <v>0</v>
      </c>
      <c r="O37" t="n">
        <v>0</v>
      </c>
      <c r="P37" t="n">
        <v>0</v>
      </c>
      <c r="Q37" t="n">
        <v>0</v>
      </c>
      <c r="R37" t="n">
        <v>0</v>
      </c>
      <c r="S37" t="n">
        <v>0</v>
      </c>
      <c r="T37" t="n">
        <v>0</v>
      </c>
      <c r="U37" t="n">
        <v>0</v>
      </c>
      <c r="V37" s="2" t="inlineStr"/>
    </row>
    <row r="38" ht="15" customHeight="1">
      <c r="A38" t="inlineStr">
        <is>
          <t>A 31251-2022</t>
        </is>
      </c>
      <c r="B38" t="inlineStr">
        <is>
          <t>avverkningsanmälan</t>
        </is>
      </c>
      <c r="C38" t="inlineStr">
        <is>
          <t>Föryngringsavverkning</t>
        </is>
      </c>
      <c r="D38" s="1" t="n">
        <v>44771</v>
      </c>
      <c r="E38" s="1" t="n">
        <v>46299</v>
      </c>
      <c r="F38" t="inlineStr">
        <is>
          <t>VÄRMLANDS LÄN</t>
        </is>
      </c>
      <c r="G38" t="inlineStr">
        <is>
          <t>FORSHAGA</t>
        </is>
      </c>
      <c r="I38" t="n">
        <v>0.6</v>
      </c>
      <c r="J38" t="n">
        <v>0</v>
      </c>
      <c r="K38" t="n">
        <v>0</v>
      </c>
      <c r="L38" t="n">
        <v>0</v>
      </c>
      <c r="M38" t="n">
        <v>0</v>
      </c>
      <c r="N38" t="n">
        <v>0</v>
      </c>
      <c r="O38" t="n">
        <v>0</v>
      </c>
      <c r="P38" t="n">
        <v>0</v>
      </c>
      <c r="Q38" t="n">
        <v>0</v>
      </c>
      <c r="R38" t="n">
        <v>0</v>
      </c>
      <c r="S38" t="n">
        <v>0</v>
      </c>
      <c r="T38" t="n">
        <v>0</v>
      </c>
      <c r="U38" t="n">
        <v>0</v>
      </c>
      <c r="V38" s="2" t="inlineStr"/>
    </row>
    <row r="39" ht="15" customHeight="1">
      <c r="A39" t="inlineStr">
        <is>
          <t>A 10765-2022</t>
        </is>
      </c>
      <c r="B39" t="inlineStr">
        <is>
          <t>avverkningsanmälan</t>
        </is>
      </c>
      <c r="C39" t="inlineStr">
        <is>
          <t>Föryngringsavverkning</t>
        </is>
      </c>
      <c r="D39" s="1" t="n">
        <v>44627</v>
      </c>
      <c r="E39" s="1" t="n">
        <v>46299</v>
      </c>
      <c r="F39" t="inlineStr">
        <is>
          <t>VÄRMLANDS LÄN</t>
        </is>
      </c>
      <c r="G39" t="inlineStr">
        <is>
          <t>FORSHAGA</t>
        </is>
      </c>
      <c r="I39" t="n">
        <v>6.1</v>
      </c>
      <c r="J39" t="n">
        <v>0</v>
      </c>
      <c r="K39" t="n">
        <v>0</v>
      </c>
      <c r="L39" t="n">
        <v>0</v>
      </c>
      <c r="M39" t="n">
        <v>0</v>
      </c>
      <c r="N39" t="n">
        <v>0</v>
      </c>
      <c r="O39" t="n">
        <v>0</v>
      </c>
      <c r="P39" t="n">
        <v>0</v>
      </c>
      <c r="Q39" t="n">
        <v>0</v>
      </c>
      <c r="R39" t="n">
        <v>0</v>
      </c>
      <c r="S39" t="n">
        <v>0</v>
      </c>
      <c r="T39" t="n">
        <v>0</v>
      </c>
      <c r="U39" t="n">
        <v>0</v>
      </c>
      <c r="V39" s="2" t="inlineStr"/>
    </row>
    <row r="40" ht="15" customHeight="1">
      <c r="A40" t="inlineStr">
        <is>
          <t>A 51296-2022</t>
        </is>
      </c>
      <c r="B40" t="inlineStr">
        <is>
          <t>avverkningsanmälan</t>
        </is>
      </c>
      <c r="C40" t="inlineStr">
        <is>
          <t>Föryngringsavverkning</t>
        </is>
      </c>
      <c r="D40" s="1" t="n">
        <v>44868</v>
      </c>
      <c r="E40" s="1" t="n">
        <v>46299</v>
      </c>
      <c r="F40" t="inlineStr">
        <is>
          <t>VÄRMLANDS LÄN</t>
        </is>
      </c>
      <c r="G40" t="inlineStr">
        <is>
          <t>FORSHAGA</t>
        </is>
      </c>
      <c r="I40" t="n">
        <v>2.4</v>
      </c>
      <c r="J40" t="n">
        <v>0</v>
      </c>
      <c r="K40" t="n">
        <v>0</v>
      </c>
      <c r="L40" t="n">
        <v>0</v>
      </c>
      <c r="M40" t="n">
        <v>0</v>
      </c>
      <c r="N40" t="n">
        <v>0</v>
      </c>
      <c r="O40" t="n">
        <v>0</v>
      </c>
      <c r="P40" t="n">
        <v>0</v>
      </c>
      <c r="Q40" t="n">
        <v>0</v>
      </c>
      <c r="R40" t="n">
        <v>0</v>
      </c>
      <c r="S40" t="n">
        <v>0</v>
      </c>
      <c r="T40" t="n">
        <v>0</v>
      </c>
      <c r="U40" t="n">
        <v>0</v>
      </c>
      <c r="V40" s="2" t="inlineStr"/>
    </row>
    <row r="41" ht="15" customHeight="1">
      <c r="A41" t="inlineStr">
        <is>
          <t>A 29507-2022</t>
        </is>
      </c>
      <c r="B41" t="inlineStr">
        <is>
          <t>avverkningsanmälan</t>
        </is>
      </c>
      <c r="C41" t="inlineStr">
        <is>
          <t>Föryngringsavverkning</t>
        </is>
      </c>
      <c r="D41" s="1" t="n">
        <v>44753</v>
      </c>
      <c r="E41" s="1" t="n">
        <v>46299</v>
      </c>
      <c r="F41" t="inlineStr">
        <is>
          <t>VÄRMLANDS LÄN</t>
        </is>
      </c>
      <c r="G41" t="inlineStr">
        <is>
          <t>FORSHAGA</t>
        </is>
      </c>
      <c r="H41" t="inlineStr">
        <is>
          <t>Kommuner</t>
        </is>
      </c>
      <c r="I41" t="n">
        <v>0.9</v>
      </c>
      <c r="J41" t="n">
        <v>0</v>
      </c>
      <c r="K41" t="n">
        <v>0</v>
      </c>
      <c r="L41" t="n">
        <v>0</v>
      </c>
      <c r="M41" t="n">
        <v>0</v>
      </c>
      <c r="N41" t="n">
        <v>0</v>
      </c>
      <c r="O41" t="n">
        <v>0</v>
      </c>
      <c r="P41" t="n">
        <v>0</v>
      </c>
      <c r="Q41" t="n">
        <v>0</v>
      </c>
      <c r="R41" t="n">
        <v>0</v>
      </c>
      <c r="S41" t="n">
        <v>0</v>
      </c>
      <c r="T41" t="n">
        <v>0</v>
      </c>
      <c r="U41" t="n">
        <v>0</v>
      </c>
      <c r="V41" s="2" t="inlineStr"/>
    </row>
    <row r="42" ht="15" customHeight="1">
      <c r="A42" t="inlineStr">
        <is>
          <t>A 26154-2022</t>
        </is>
      </c>
      <c r="B42" t="inlineStr">
        <is>
          <t>avverkningsanmälan</t>
        </is>
      </c>
      <c r="C42" t="inlineStr">
        <is>
          <t>Avverkning för annat ändamål</t>
        </is>
      </c>
      <c r="D42" s="1" t="n">
        <v>44735</v>
      </c>
      <c r="E42" s="1" t="n">
        <v>46299</v>
      </c>
      <c r="F42" t="inlineStr">
        <is>
          <t>VÄRMLANDS LÄN</t>
        </is>
      </c>
      <c r="G42" t="inlineStr">
        <is>
          <t>FORSHAGA</t>
        </is>
      </c>
      <c r="H42" t="inlineStr">
        <is>
          <t>Bergvik skog väst AB</t>
        </is>
      </c>
      <c r="I42" t="n">
        <v>0.3</v>
      </c>
      <c r="J42" t="n">
        <v>0</v>
      </c>
      <c r="K42" t="n">
        <v>0</v>
      </c>
      <c r="L42" t="n">
        <v>0</v>
      </c>
      <c r="M42" t="n">
        <v>0</v>
      </c>
      <c r="N42" t="n">
        <v>0</v>
      </c>
      <c r="O42" t="n">
        <v>0</v>
      </c>
      <c r="P42" t="n">
        <v>0</v>
      </c>
      <c r="Q42" t="n">
        <v>0</v>
      </c>
      <c r="R42" t="n">
        <v>0</v>
      </c>
      <c r="S42" t="n">
        <v>0</v>
      </c>
      <c r="T42" t="n">
        <v>0</v>
      </c>
      <c r="U42" t="n">
        <v>0</v>
      </c>
      <c r="V42" s="2" t="inlineStr"/>
    </row>
    <row r="43" ht="15" customHeight="1">
      <c r="A43" t="inlineStr">
        <is>
          <t>A 53913-2022</t>
        </is>
      </c>
      <c r="B43" t="inlineStr">
        <is>
          <t>avverkningsanmälan</t>
        </is>
      </c>
      <c r="C43" t="inlineStr">
        <is>
          <t>Föryngringsavverkning</t>
        </is>
      </c>
      <c r="D43" s="1" t="n">
        <v>44880</v>
      </c>
      <c r="E43" s="1" t="n">
        <v>46299</v>
      </c>
      <c r="F43" t="inlineStr">
        <is>
          <t>VÄRMLANDS LÄN</t>
        </is>
      </c>
      <c r="G43" t="inlineStr">
        <is>
          <t>FORSHAGA</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2834-2022</t>
        </is>
      </c>
      <c r="B44" t="inlineStr">
        <is>
          <t>avverkningsanmälan</t>
        </is>
      </c>
      <c r="C44" t="inlineStr">
        <is>
          <t>Föryngringsavverkning</t>
        </is>
      </c>
      <c r="D44" s="1" t="n">
        <v>44581</v>
      </c>
      <c r="E44" s="1" t="n">
        <v>46299</v>
      </c>
      <c r="F44" t="inlineStr">
        <is>
          <t>VÄRMLANDS LÄN</t>
        </is>
      </c>
      <c r="G44" t="inlineStr">
        <is>
          <t>FORSHAGA</t>
        </is>
      </c>
      <c r="I44" t="n">
        <v>3.5</v>
      </c>
      <c r="J44" t="n">
        <v>0</v>
      </c>
      <c r="K44" t="n">
        <v>0</v>
      </c>
      <c r="L44" t="n">
        <v>0</v>
      </c>
      <c r="M44" t="n">
        <v>0</v>
      </c>
      <c r="N44" t="n">
        <v>0</v>
      </c>
      <c r="O44" t="n">
        <v>0</v>
      </c>
      <c r="P44" t="n">
        <v>0</v>
      </c>
      <c r="Q44" t="n">
        <v>0</v>
      </c>
      <c r="R44" t="n">
        <v>0</v>
      </c>
      <c r="S44" t="n">
        <v>0</v>
      </c>
      <c r="T44" t="n">
        <v>0</v>
      </c>
      <c r="U44" t="n">
        <v>0</v>
      </c>
      <c r="V44" s="2" t="inlineStr"/>
    </row>
    <row r="45" ht="15" customHeight="1">
      <c r="A45" t="inlineStr">
        <is>
          <t>A 66111-2021</t>
        </is>
      </c>
      <c r="B45" t="inlineStr">
        <is>
          <t>avverkningsanmälan</t>
        </is>
      </c>
      <c r="C45" t="inlineStr">
        <is>
          <t>Föryngringsavverkning</t>
        </is>
      </c>
      <c r="D45" s="1" t="n">
        <v>44517</v>
      </c>
      <c r="E45" s="1" t="n">
        <v>46299</v>
      </c>
      <c r="F45" t="inlineStr">
        <is>
          <t>VÄRMLANDS LÄN</t>
        </is>
      </c>
      <c r="G45" t="inlineStr">
        <is>
          <t>FORSHAGA</t>
        </is>
      </c>
      <c r="I45" t="n">
        <v>1.9</v>
      </c>
      <c r="J45" t="n">
        <v>0</v>
      </c>
      <c r="K45" t="n">
        <v>0</v>
      </c>
      <c r="L45" t="n">
        <v>0</v>
      </c>
      <c r="M45" t="n">
        <v>0</v>
      </c>
      <c r="N45" t="n">
        <v>0</v>
      </c>
      <c r="O45" t="n">
        <v>0</v>
      </c>
      <c r="P45" t="n">
        <v>0</v>
      </c>
      <c r="Q45" t="n">
        <v>0</v>
      </c>
      <c r="R45" t="n">
        <v>0</v>
      </c>
      <c r="S45" t="n">
        <v>0</v>
      </c>
      <c r="T45" t="n">
        <v>0</v>
      </c>
      <c r="U45" t="n">
        <v>0</v>
      </c>
      <c r="V45" s="2" t="inlineStr"/>
    </row>
    <row r="46" ht="15" customHeight="1">
      <c r="A46" t="inlineStr">
        <is>
          <t>A 33033-2022</t>
        </is>
      </c>
      <c r="B46" t="inlineStr">
        <is>
          <t>avverkningsanmälan</t>
        </is>
      </c>
      <c r="C46" t="inlineStr">
        <is>
          <t>Föryngringsavverkning</t>
        </is>
      </c>
      <c r="D46" s="1" t="n">
        <v>44785</v>
      </c>
      <c r="E46" s="1" t="n">
        <v>46299</v>
      </c>
      <c r="F46" t="inlineStr">
        <is>
          <t>VÄRMLANDS LÄN</t>
        </is>
      </c>
      <c r="G46" t="inlineStr">
        <is>
          <t>FORSHAGA</t>
        </is>
      </c>
      <c r="H46" t="inlineStr">
        <is>
          <t>Bergvik skog väst AB</t>
        </is>
      </c>
      <c r="I46" t="n">
        <v>0.4</v>
      </c>
      <c r="J46" t="n">
        <v>0</v>
      </c>
      <c r="K46" t="n">
        <v>0</v>
      </c>
      <c r="L46" t="n">
        <v>0</v>
      </c>
      <c r="M46" t="n">
        <v>0</v>
      </c>
      <c r="N46" t="n">
        <v>0</v>
      </c>
      <c r="O46" t="n">
        <v>0</v>
      </c>
      <c r="P46" t="n">
        <v>0</v>
      </c>
      <c r="Q46" t="n">
        <v>0</v>
      </c>
      <c r="R46" t="n">
        <v>0</v>
      </c>
      <c r="S46" t="n">
        <v>0</v>
      </c>
      <c r="T46" t="n">
        <v>0</v>
      </c>
      <c r="U46" t="n">
        <v>0</v>
      </c>
      <c r="V46" s="2" t="inlineStr"/>
    </row>
    <row r="47" ht="15" customHeight="1">
      <c r="A47" t="inlineStr">
        <is>
          <t>A 50060-2022</t>
        </is>
      </c>
      <c r="B47" t="inlineStr">
        <is>
          <t>avverkningsanmälan</t>
        </is>
      </c>
      <c r="C47" t="inlineStr">
        <is>
          <t>Föryngringsavverkning</t>
        </is>
      </c>
      <c r="D47" s="1" t="n">
        <v>44865</v>
      </c>
      <c r="E47" s="1" t="n">
        <v>46299</v>
      </c>
      <c r="F47" t="inlineStr">
        <is>
          <t>VÄRMLANDS LÄN</t>
        </is>
      </c>
      <c r="G47" t="inlineStr">
        <is>
          <t>FORSHAGA</t>
        </is>
      </c>
      <c r="I47" t="n">
        <v>2.5</v>
      </c>
      <c r="J47" t="n">
        <v>0</v>
      </c>
      <c r="K47" t="n">
        <v>0</v>
      </c>
      <c r="L47" t="n">
        <v>0</v>
      </c>
      <c r="M47" t="n">
        <v>0</v>
      </c>
      <c r="N47" t="n">
        <v>0</v>
      </c>
      <c r="O47" t="n">
        <v>0</v>
      </c>
      <c r="P47" t="n">
        <v>0</v>
      </c>
      <c r="Q47" t="n">
        <v>0</v>
      </c>
      <c r="R47" t="n">
        <v>0</v>
      </c>
      <c r="S47" t="n">
        <v>0</v>
      </c>
      <c r="T47" t="n">
        <v>0</v>
      </c>
      <c r="U47" t="n">
        <v>0</v>
      </c>
      <c r="V47" s="2" t="inlineStr"/>
    </row>
    <row r="48" ht="15" customHeight="1">
      <c r="A48" t="inlineStr">
        <is>
          <t>A 29520-2022</t>
        </is>
      </c>
      <c r="B48" t="inlineStr">
        <is>
          <t>avverkningsanmälan</t>
        </is>
      </c>
      <c r="C48" t="inlineStr">
        <is>
          <t>Föryngringsavverkning</t>
        </is>
      </c>
      <c r="D48" s="1" t="n">
        <v>44753</v>
      </c>
      <c r="E48" s="1" t="n">
        <v>46299</v>
      </c>
      <c r="F48" t="inlineStr">
        <is>
          <t>VÄRMLANDS LÄN</t>
        </is>
      </c>
      <c r="G48" t="inlineStr">
        <is>
          <t>FORSHAGA</t>
        </is>
      </c>
      <c r="H48" t="inlineStr">
        <is>
          <t>Kommuner</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7289-2022</t>
        </is>
      </c>
      <c r="B49" t="inlineStr">
        <is>
          <t>avverkningsanmälan</t>
        </is>
      </c>
      <c r="C49" t="inlineStr">
        <is>
          <t>Föryngringsavverkning</t>
        </is>
      </c>
      <c r="D49" s="1" t="n">
        <v>44606</v>
      </c>
      <c r="E49" s="1" t="n">
        <v>46299</v>
      </c>
      <c r="F49" t="inlineStr">
        <is>
          <t>VÄRMLANDS LÄN</t>
        </is>
      </c>
      <c r="G49" t="inlineStr">
        <is>
          <t>FORSHAGA</t>
        </is>
      </c>
      <c r="I49" t="n">
        <v>1</v>
      </c>
      <c r="J49" t="n">
        <v>0</v>
      </c>
      <c r="K49" t="n">
        <v>0</v>
      </c>
      <c r="L49" t="n">
        <v>0</v>
      </c>
      <c r="M49" t="n">
        <v>0</v>
      </c>
      <c r="N49" t="n">
        <v>0</v>
      </c>
      <c r="O49" t="n">
        <v>0</v>
      </c>
      <c r="P49" t="n">
        <v>0</v>
      </c>
      <c r="Q49" t="n">
        <v>0</v>
      </c>
      <c r="R49" t="n">
        <v>0</v>
      </c>
      <c r="S49" t="n">
        <v>0</v>
      </c>
      <c r="T49" t="n">
        <v>0</v>
      </c>
      <c r="U49" t="n">
        <v>0</v>
      </c>
      <c r="V49" s="2" t="inlineStr"/>
    </row>
    <row r="50" ht="15" customHeight="1">
      <c r="A50" t="inlineStr">
        <is>
          <t>A 67198-2021</t>
        </is>
      </c>
      <c r="B50" t="inlineStr">
        <is>
          <t>avverkningsanmälan</t>
        </is>
      </c>
      <c r="C50" t="inlineStr">
        <is>
          <t>Föryngringsavverkning</t>
        </is>
      </c>
      <c r="D50" s="1" t="n">
        <v>44523</v>
      </c>
      <c r="E50" s="1" t="n">
        <v>46299</v>
      </c>
      <c r="F50" t="inlineStr">
        <is>
          <t>VÄRMLANDS LÄN</t>
        </is>
      </c>
      <c r="G50" t="inlineStr">
        <is>
          <t>FORSHAGA</t>
        </is>
      </c>
      <c r="I50" t="n">
        <v>4.8</v>
      </c>
      <c r="J50" t="n">
        <v>0</v>
      </c>
      <c r="K50" t="n">
        <v>0</v>
      </c>
      <c r="L50" t="n">
        <v>0</v>
      </c>
      <c r="M50" t="n">
        <v>0</v>
      </c>
      <c r="N50" t="n">
        <v>0</v>
      </c>
      <c r="O50" t="n">
        <v>0</v>
      </c>
      <c r="P50" t="n">
        <v>0</v>
      </c>
      <c r="Q50" t="n">
        <v>0</v>
      </c>
      <c r="R50" t="n">
        <v>0</v>
      </c>
      <c r="S50" t="n">
        <v>0</v>
      </c>
      <c r="T50" t="n">
        <v>0</v>
      </c>
      <c r="U50" t="n">
        <v>0</v>
      </c>
      <c r="V50" s="2" t="inlineStr"/>
    </row>
    <row r="51" ht="15" customHeight="1">
      <c r="A51" t="inlineStr">
        <is>
          <t>A 72240-2021</t>
        </is>
      </c>
      <c r="B51" t="inlineStr">
        <is>
          <t>avverkningsanmälan</t>
        </is>
      </c>
      <c r="C51" t="inlineStr">
        <is>
          <t>Föryngringsavverkning</t>
        </is>
      </c>
      <c r="D51" s="1" t="n">
        <v>44544</v>
      </c>
      <c r="E51" s="1" t="n">
        <v>46299</v>
      </c>
      <c r="F51" t="inlineStr">
        <is>
          <t>VÄRMLANDS LÄN</t>
        </is>
      </c>
      <c r="G51" t="inlineStr">
        <is>
          <t>FORSHAGA</t>
        </is>
      </c>
      <c r="I51" t="n">
        <v>1.8</v>
      </c>
      <c r="J51" t="n">
        <v>0</v>
      </c>
      <c r="K51" t="n">
        <v>0</v>
      </c>
      <c r="L51" t="n">
        <v>0</v>
      </c>
      <c r="M51" t="n">
        <v>0</v>
      </c>
      <c r="N51" t="n">
        <v>0</v>
      </c>
      <c r="O51" t="n">
        <v>0</v>
      </c>
      <c r="P51" t="n">
        <v>0</v>
      </c>
      <c r="Q51" t="n">
        <v>0</v>
      </c>
      <c r="R51" t="n">
        <v>0</v>
      </c>
      <c r="S51" t="n">
        <v>0</v>
      </c>
      <c r="T51" t="n">
        <v>0</v>
      </c>
      <c r="U51" t="n">
        <v>0</v>
      </c>
      <c r="V51" s="2" t="inlineStr"/>
    </row>
    <row r="52" ht="15" customHeight="1">
      <c r="A52" t="inlineStr">
        <is>
          <t>A 6947-2025</t>
        </is>
      </c>
      <c r="B52" t="inlineStr">
        <is>
          <t>avverkningsanmälan</t>
        </is>
      </c>
      <c r="C52" t="inlineStr">
        <is>
          <t>Avverkning för att bevara och utveckla /försöksver</t>
        </is>
      </c>
      <c r="D52" s="1" t="n">
        <v>45701</v>
      </c>
      <c r="E52" s="1" t="n">
        <v>46299</v>
      </c>
      <c r="F52" t="inlineStr">
        <is>
          <t>VÄRMLANDS LÄN</t>
        </is>
      </c>
      <c r="G52" t="inlineStr">
        <is>
          <t>FORSHAGA</t>
        </is>
      </c>
      <c r="H52" t="inlineStr">
        <is>
          <t>Bergvik skog väst AB</t>
        </is>
      </c>
      <c r="I52" t="n">
        <v>2.4</v>
      </c>
      <c r="J52" t="n">
        <v>0</v>
      </c>
      <c r="K52" t="n">
        <v>0</v>
      </c>
      <c r="L52" t="n">
        <v>0</v>
      </c>
      <c r="M52" t="n">
        <v>0</v>
      </c>
      <c r="N52" t="n">
        <v>0</v>
      </c>
      <c r="O52" t="n">
        <v>0</v>
      </c>
      <c r="P52" t="n">
        <v>0</v>
      </c>
      <c r="Q52" t="n">
        <v>0</v>
      </c>
      <c r="R52" t="n">
        <v>0</v>
      </c>
      <c r="S52" t="n">
        <v>0</v>
      </c>
      <c r="T52" t="n">
        <v>0</v>
      </c>
      <c r="U52" t="n">
        <v>0</v>
      </c>
      <c r="V52" s="2" t="inlineStr"/>
    </row>
    <row r="53" ht="15" customHeight="1">
      <c r="A53" t="inlineStr">
        <is>
          <t>A 23451-2024</t>
        </is>
      </c>
      <c r="B53" t="inlineStr">
        <is>
          <t>avverkningsanmälan</t>
        </is>
      </c>
      <c r="C53" t="inlineStr">
        <is>
          <t>Föryngringsavverkning</t>
        </is>
      </c>
      <c r="D53" s="1" t="n">
        <v>45453</v>
      </c>
      <c r="E53" s="1" t="n">
        <v>46299</v>
      </c>
      <c r="F53" t="inlineStr">
        <is>
          <t>VÄRMLANDS LÄN</t>
        </is>
      </c>
      <c r="G53" t="inlineStr">
        <is>
          <t>FORSHAGA</t>
        </is>
      </c>
      <c r="I53" t="n">
        <v>6.1</v>
      </c>
      <c r="J53" t="n">
        <v>0</v>
      </c>
      <c r="K53" t="n">
        <v>0</v>
      </c>
      <c r="L53" t="n">
        <v>0</v>
      </c>
      <c r="M53" t="n">
        <v>0</v>
      </c>
      <c r="N53" t="n">
        <v>0</v>
      </c>
      <c r="O53" t="n">
        <v>0</v>
      </c>
      <c r="P53" t="n">
        <v>0</v>
      </c>
      <c r="Q53" t="n">
        <v>0</v>
      </c>
      <c r="R53" t="n">
        <v>0</v>
      </c>
      <c r="S53" t="n">
        <v>0</v>
      </c>
      <c r="T53" t="n">
        <v>0</v>
      </c>
      <c r="U53" t="n">
        <v>0</v>
      </c>
      <c r="V53" s="2" t="inlineStr"/>
    </row>
    <row r="54" ht="15" customHeight="1">
      <c r="A54" t="inlineStr">
        <is>
          <t>A 34427-2024</t>
        </is>
      </c>
      <c r="B54" t="inlineStr">
        <is>
          <t>avverkningsanmälan</t>
        </is>
      </c>
      <c r="C54" t="inlineStr">
        <is>
          <t>Avverkning för att bevara och utveckla /försöksver</t>
        </is>
      </c>
      <c r="D54" s="1" t="n">
        <v>45525</v>
      </c>
      <c r="E54" s="1" t="n">
        <v>46299</v>
      </c>
      <c r="F54" t="inlineStr">
        <is>
          <t>VÄRMLANDS LÄN</t>
        </is>
      </c>
      <c r="G54" t="inlineStr">
        <is>
          <t>FORSHAGA</t>
        </is>
      </c>
      <c r="H54" t="inlineStr">
        <is>
          <t>Bergvik skog väst AB</t>
        </is>
      </c>
      <c r="I54" t="n">
        <v>2.6</v>
      </c>
      <c r="J54" t="n">
        <v>0</v>
      </c>
      <c r="K54" t="n">
        <v>0</v>
      </c>
      <c r="L54" t="n">
        <v>0</v>
      </c>
      <c r="M54" t="n">
        <v>0</v>
      </c>
      <c r="N54" t="n">
        <v>0</v>
      </c>
      <c r="O54" t="n">
        <v>0</v>
      </c>
      <c r="P54" t="n">
        <v>0</v>
      </c>
      <c r="Q54" t="n">
        <v>0</v>
      </c>
      <c r="R54" t="n">
        <v>0</v>
      </c>
      <c r="S54" t="n">
        <v>0</v>
      </c>
      <c r="T54" t="n">
        <v>0</v>
      </c>
      <c r="U54" t="n">
        <v>0</v>
      </c>
      <c r="V54" s="2" t="inlineStr"/>
    </row>
    <row r="55" ht="15" customHeight="1">
      <c r="A55" t="inlineStr">
        <is>
          <t>A 50635-2023</t>
        </is>
      </c>
      <c r="B55" t="inlineStr">
        <is>
          <t>avverkningsanmälan</t>
        </is>
      </c>
      <c r="C55" t="inlineStr">
        <is>
          <t>Föryngringsavverkning</t>
        </is>
      </c>
      <c r="D55" s="1" t="n">
        <v>45217</v>
      </c>
      <c r="E55" s="1" t="n">
        <v>46299</v>
      </c>
      <c r="F55" t="inlineStr">
        <is>
          <t>VÄRMLANDS LÄN</t>
        </is>
      </c>
      <c r="G55" t="inlineStr">
        <is>
          <t>FORSHAGA</t>
        </is>
      </c>
      <c r="I55" t="n">
        <v>1.6</v>
      </c>
      <c r="J55" t="n">
        <v>0</v>
      </c>
      <c r="K55" t="n">
        <v>0</v>
      </c>
      <c r="L55" t="n">
        <v>0</v>
      </c>
      <c r="M55" t="n">
        <v>0</v>
      </c>
      <c r="N55" t="n">
        <v>0</v>
      </c>
      <c r="O55" t="n">
        <v>0</v>
      </c>
      <c r="P55" t="n">
        <v>0</v>
      </c>
      <c r="Q55" t="n">
        <v>0</v>
      </c>
      <c r="R55" t="n">
        <v>0</v>
      </c>
      <c r="S55" t="n">
        <v>0</v>
      </c>
      <c r="T55" t="n">
        <v>0</v>
      </c>
      <c r="U55" t="n">
        <v>0</v>
      </c>
      <c r="V55" s="2" t="inlineStr"/>
    </row>
    <row r="56" ht="15" customHeight="1">
      <c r="A56" t="inlineStr">
        <is>
          <t>A 39213-2023</t>
        </is>
      </c>
      <c r="B56" t="inlineStr">
        <is>
          <t>avverkningsanmälan</t>
        </is>
      </c>
      <c r="C56" t="inlineStr">
        <is>
          <t>Föryngringsavverkning</t>
        </is>
      </c>
      <c r="D56" s="1" t="n">
        <v>45166</v>
      </c>
      <c r="E56" s="1" t="n">
        <v>46299</v>
      </c>
      <c r="F56" t="inlineStr">
        <is>
          <t>VÄRMLANDS LÄN</t>
        </is>
      </c>
      <c r="G56" t="inlineStr">
        <is>
          <t>FORSHAGA</t>
        </is>
      </c>
      <c r="H56" t="inlineStr">
        <is>
          <t>Kommuner</t>
        </is>
      </c>
      <c r="I56" t="n">
        <v>2.4</v>
      </c>
      <c r="J56" t="n">
        <v>0</v>
      </c>
      <c r="K56" t="n">
        <v>0</v>
      </c>
      <c r="L56" t="n">
        <v>0</v>
      </c>
      <c r="M56" t="n">
        <v>0</v>
      </c>
      <c r="N56" t="n">
        <v>0</v>
      </c>
      <c r="O56" t="n">
        <v>0</v>
      </c>
      <c r="P56" t="n">
        <v>0</v>
      </c>
      <c r="Q56" t="n">
        <v>0</v>
      </c>
      <c r="R56" t="n">
        <v>0</v>
      </c>
      <c r="S56" t="n">
        <v>0</v>
      </c>
      <c r="T56" t="n">
        <v>0</v>
      </c>
      <c r="U56" t="n">
        <v>0</v>
      </c>
      <c r="V56" s="2" t="inlineStr"/>
    </row>
    <row r="57" ht="15" customHeight="1">
      <c r="A57" t="inlineStr">
        <is>
          <t>A 7273-2023</t>
        </is>
      </c>
      <c r="B57" t="inlineStr">
        <is>
          <t>avverkningsanmälan</t>
        </is>
      </c>
      <c r="C57" t="inlineStr">
        <is>
          <t>Föryngringsavverkning</t>
        </is>
      </c>
      <c r="D57" s="1" t="n">
        <v>44970</v>
      </c>
      <c r="E57" s="1" t="n">
        <v>46299</v>
      </c>
      <c r="F57" t="inlineStr">
        <is>
          <t>VÄRMLANDS LÄN</t>
        </is>
      </c>
      <c r="G57" t="inlineStr">
        <is>
          <t>FORSHAGA</t>
        </is>
      </c>
      <c r="I57" t="n">
        <v>1.9</v>
      </c>
      <c r="J57" t="n">
        <v>0</v>
      </c>
      <c r="K57" t="n">
        <v>0</v>
      </c>
      <c r="L57" t="n">
        <v>0</v>
      </c>
      <c r="M57" t="n">
        <v>0</v>
      </c>
      <c r="N57" t="n">
        <v>0</v>
      </c>
      <c r="O57" t="n">
        <v>0</v>
      </c>
      <c r="P57" t="n">
        <v>0</v>
      </c>
      <c r="Q57" t="n">
        <v>0</v>
      </c>
      <c r="R57" t="n">
        <v>0</v>
      </c>
      <c r="S57" t="n">
        <v>0</v>
      </c>
      <c r="T57" t="n">
        <v>0</v>
      </c>
      <c r="U57" t="n">
        <v>0</v>
      </c>
      <c r="V57" s="2" t="inlineStr"/>
    </row>
    <row r="58" ht="15" customHeight="1">
      <c r="A58" t="inlineStr">
        <is>
          <t>A 22619-2025</t>
        </is>
      </c>
      <c r="B58" t="inlineStr">
        <is>
          <t>avverkningsanmälan</t>
        </is>
      </c>
      <c r="C58" t="inlineStr">
        <is>
          <t>Föryngringsavverkning</t>
        </is>
      </c>
      <c r="D58" s="1" t="n">
        <v>45789</v>
      </c>
      <c r="E58" s="1" t="n">
        <v>46299</v>
      </c>
      <c r="F58" t="inlineStr">
        <is>
          <t>VÄRMLANDS LÄN</t>
        </is>
      </c>
      <c r="G58" t="inlineStr">
        <is>
          <t>FORSHAGA</t>
        </is>
      </c>
      <c r="H58" t="inlineStr">
        <is>
          <t>Bergvik skog väst AB</t>
        </is>
      </c>
      <c r="I58" t="n">
        <v>0.4</v>
      </c>
      <c r="J58" t="n">
        <v>0</v>
      </c>
      <c r="K58" t="n">
        <v>0</v>
      </c>
      <c r="L58" t="n">
        <v>0</v>
      </c>
      <c r="M58" t="n">
        <v>0</v>
      </c>
      <c r="N58" t="n">
        <v>0</v>
      </c>
      <c r="O58" t="n">
        <v>0</v>
      </c>
      <c r="P58" t="n">
        <v>0</v>
      </c>
      <c r="Q58" t="n">
        <v>0</v>
      </c>
      <c r="R58" t="n">
        <v>0</v>
      </c>
      <c r="S58" t="n">
        <v>0</v>
      </c>
      <c r="T58" t="n">
        <v>0</v>
      </c>
      <c r="U58" t="n">
        <v>0</v>
      </c>
      <c r="V58" s="2" t="inlineStr"/>
    </row>
    <row r="59" ht="15" customHeight="1">
      <c r="A59" t="inlineStr">
        <is>
          <t>A 28327-2022</t>
        </is>
      </c>
      <c r="B59" t="inlineStr">
        <is>
          <t>avverkningsanmälan</t>
        </is>
      </c>
      <c r="C59" t="inlineStr">
        <is>
          <t>Föryngringsavverkning</t>
        </is>
      </c>
      <c r="D59" s="1" t="n">
        <v>44747</v>
      </c>
      <c r="E59" s="1" t="n">
        <v>46299</v>
      </c>
      <c r="F59" t="inlineStr">
        <is>
          <t>VÄRMLANDS LÄN</t>
        </is>
      </c>
      <c r="G59" t="inlineStr">
        <is>
          <t>FORSHAGA</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53573-2024</t>
        </is>
      </c>
      <c r="B60" t="inlineStr">
        <is>
          <t>avverkningsanmälan</t>
        </is>
      </c>
      <c r="C60" t="inlineStr">
        <is>
          <t>Föryngringsavverkning</t>
        </is>
      </c>
      <c r="D60" s="1" t="n">
        <v>45614</v>
      </c>
      <c r="E60" s="1" t="n">
        <v>46299</v>
      </c>
      <c r="F60" t="inlineStr">
        <is>
          <t>VÄRMLANDS LÄN</t>
        </is>
      </c>
      <c r="G60" t="inlineStr">
        <is>
          <t>FORSHAGA</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61896-2025</t>
        </is>
      </c>
      <c r="B61" t="inlineStr">
        <is>
          <t>avverkningsanmälan</t>
        </is>
      </c>
      <c r="C61" t="inlineStr">
        <is>
          <t>Föryngringsavverkning</t>
        </is>
      </c>
      <c r="D61" s="1" t="n">
        <v>46003</v>
      </c>
      <c r="E61" s="1" t="n">
        <v>46299</v>
      </c>
      <c r="F61" t="inlineStr">
        <is>
          <t>VÄRMLANDS LÄN</t>
        </is>
      </c>
      <c r="G61" t="inlineStr">
        <is>
          <t>FORSHAGA</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28271-2024</t>
        </is>
      </c>
      <c r="B62" t="inlineStr">
        <is>
          <t>avverkningsanmälan</t>
        </is>
      </c>
      <c r="C62" t="inlineStr">
        <is>
          <t>Föryngringsavverkning</t>
        </is>
      </c>
      <c r="D62" s="1" t="n">
        <v>45477</v>
      </c>
      <c r="E62" s="1" t="n">
        <v>46299</v>
      </c>
      <c r="F62" t="inlineStr">
        <is>
          <t>VÄRMLANDS LÄN</t>
        </is>
      </c>
      <c r="G62" t="inlineStr">
        <is>
          <t>FORSHAGA</t>
        </is>
      </c>
      <c r="I62" t="n">
        <v>1.9</v>
      </c>
      <c r="J62" t="n">
        <v>0</v>
      </c>
      <c r="K62" t="n">
        <v>0</v>
      </c>
      <c r="L62" t="n">
        <v>0</v>
      </c>
      <c r="M62" t="n">
        <v>0</v>
      </c>
      <c r="N62" t="n">
        <v>0</v>
      </c>
      <c r="O62" t="n">
        <v>0</v>
      </c>
      <c r="P62" t="n">
        <v>0</v>
      </c>
      <c r="Q62" t="n">
        <v>0</v>
      </c>
      <c r="R62" t="n">
        <v>0</v>
      </c>
      <c r="S62" t="n">
        <v>0</v>
      </c>
      <c r="T62" t="n">
        <v>0</v>
      </c>
      <c r="U62" t="n">
        <v>0</v>
      </c>
      <c r="V62" s="2" t="inlineStr"/>
    </row>
    <row r="63" ht="15" customHeight="1">
      <c r="A63" t="inlineStr">
        <is>
          <t>A 21745-2024</t>
        </is>
      </c>
      <c r="B63" t="inlineStr">
        <is>
          <t>avverkningsanmälan</t>
        </is>
      </c>
      <c r="C63" t="inlineStr">
        <is>
          <t>Föryngringsavverkning</t>
        </is>
      </c>
      <c r="D63" s="1" t="n">
        <v>45442</v>
      </c>
      <c r="E63" s="1" t="n">
        <v>46299</v>
      </c>
      <c r="F63" t="inlineStr">
        <is>
          <t>VÄRMLANDS LÄN</t>
        </is>
      </c>
      <c r="G63" t="inlineStr">
        <is>
          <t>FORSHAGA</t>
        </is>
      </c>
      <c r="I63" t="n">
        <v>2.7</v>
      </c>
      <c r="J63" t="n">
        <v>0</v>
      </c>
      <c r="K63" t="n">
        <v>0</v>
      </c>
      <c r="L63" t="n">
        <v>0</v>
      </c>
      <c r="M63" t="n">
        <v>0</v>
      </c>
      <c r="N63" t="n">
        <v>0</v>
      </c>
      <c r="O63" t="n">
        <v>0</v>
      </c>
      <c r="P63" t="n">
        <v>0</v>
      </c>
      <c r="Q63" t="n">
        <v>0</v>
      </c>
      <c r="R63" t="n">
        <v>0</v>
      </c>
      <c r="S63" t="n">
        <v>0</v>
      </c>
      <c r="T63" t="n">
        <v>0</v>
      </c>
      <c r="U63" t="n">
        <v>0</v>
      </c>
      <c r="V63" s="2" t="inlineStr"/>
    </row>
    <row r="64" ht="15" customHeight="1">
      <c r="A64" t="inlineStr">
        <is>
          <t>A 22362-2024</t>
        </is>
      </c>
      <c r="B64" t="inlineStr">
        <is>
          <t>avverkningsanmälan</t>
        </is>
      </c>
      <c r="C64" t="inlineStr">
        <is>
          <t>Föryngringsavverkning</t>
        </is>
      </c>
      <c r="D64" s="1" t="n">
        <v>45446</v>
      </c>
      <c r="E64" s="1" t="n">
        <v>46299</v>
      </c>
      <c r="F64" t="inlineStr">
        <is>
          <t>VÄRMLANDS LÄN</t>
        </is>
      </c>
      <c r="G64" t="inlineStr">
        <is>
          <t>FORSHAGA</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18439-2025</t>
        </is>
      </c>
      <c r="B65" t="inlineStr">
        <is>
          <t>avverkningsanmälan</t>
        </is>
      </c>
      <c r="C65" t="inlineStr">
        <is>
          <t>Föryngringsavverkning</t>
        </is>
      </c>
      <c r="D65" s="1" t="n">
        <v>45762</v>
      </c>
      <c r="E65" s="1" t="n">
        <v>46299</v>
      </c>
      <c r="F65" t="inlineStr">
        <is>
          <t>VÄRMLANDS LÄN</t>
        </is>
      </c>
      <c r="G65" t="inlineStr">
        <is>
          <t>FORSHAGA</t>
        </is>
      </c>
      <c r="H65" t="inlineStr">
        <is>
          <t>Bergvik skog väst AB</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39748-2025</t>
        </is>
      </c>
      <c r="B66" t="inlineStr">
        <is>
          <t>avverkningsanmälan</t>
        </is>
      </c>
      <c r="C66" t="inlineStr">
        <is>
          <t>Föryngringsavverkning</t>
        </is>
      </c>
      <c r="D66" s="1" t="n">
        <v>45891</v>
      </c>
      <c r="E66" s="1" t="n">
        <v>46299</v>
      </c>
      <c r="F66" t="inlineStr">
        <is>
          <t>VÄRMLANDS LÄN</t>
        </is>
      </c>
      <c r="G66" t="inlineStr">
        <is>
          <t>FORSHAGA</t>
        </is>
      </c>
      <c r="H66" t="inlineStr">
        <is>
          <t>Kyrkan</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30853-2025</t>
        </is>
      </c>
      <c r="B67" t="inlineStr">
        <is>
          <t>avverkningsanmälan</t>
        </is>
      </c>
      <c r="C67" t="inlineStr">
        <is>
          <t>Föryngringsavverkning</t>
        </is>
      </c>
      <c r="D67" s="1" t="n">
        <v>45831</v>
      </c>
      <c r="E67" s="1" t="n">
        <v>46299</v>
      </c>
      <c r="F67" t="inlineStr">
        <is>
          <t>VÄRMLANDS LÄN</t>
        </is>
      </c>
      <c r="G67" t="inlineStr">
        <is>
          <t>FORSHAGA</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29188-2025</t>
        </is>
      </c>
      <c r="B68" t="inlineStr">
        <is>
          <t>avverkningsanmälan</t>
        </is>
      </c>
      <c r="C68" t="inlineStr">
        <is>
          <t>Föryngringsavverkning</t>
        </is>
      </c>
      <c r="D68" s="1" t="n">
        <v>45821</v>
      </c>
      <c r="E68" s="1" t="n">
        <v>46299</v>
      </c>
      <c r="F68" t="inlineStr">
        <is>
          <t>VÄRMLANDS LÄN</t>
        </is>
      </c>
      <c r="G68" t="inlineStr">
        <is>
          <t>FORSHAGA</t>
        </is>
      </c>
      <c r="I68" t="n">
        <v>0.3</v>
      </c>
      <c r="J68" t="n">
        <v>0</v>
      </c>
      <c r="K68" t="n">
        <v>0</v>
      </c>
      <c r="L68" t="n">
        <v>0</v>
      </c>
      <c r="M68" t="n">
        <v>0</v>
      </c>
      <c r="N68" t="n">
        <v>0</v>
      </c>
      <c r="O68" t="n">
        <v>0</v>
      </c>
      <c r="P68" t="n">
        <v>0</v>
      </c>
      <c r="Q68" t="n">
        <v>0</v>
      </c>
      <c r="R68" t="n">
        <v>0</v>
      </c>
      <c r="S68" t="n">
        <v>0</v>
      </c>
      <c r="T68" t="n">
        <v>0</v>
      </c>
      <c r="U68" t="n">
        <v>0</v>
      </c>
      <c r="V68" s="2" t="inlineStr"/>
    </row>
    <row r="69" ht="15" customHeight="1">
      <c r="A69" t="inlineStr">
        <is>
          <t>A 40080-2025</t>
        </is>
      </c>
      <c r="B69" t="inlineStr">
        <is>
          <t>avverkningsanmälan</t>
        </is>
      </c>
      <c r="C69" t="inlineStr">
        <is>
          <t>Föryngringsavverkning</t>
        </is>
      </c>
      <c r="D69" s="1" t="n">
        <v>45894</v>
      </c>
      <c r="E69" s="1" t="n">
        <v>46299</v>
      </c>
      <c r="F69" t="inlineStr">
        <is>
          <t>VÄRMLANDS LÄN</t>
        </is>
      </c>
      <c r="G69" t="inlineStr">
        <is>
          <t>FORSHAGA</t>
        </is>
      </c>
      <c r="I69" t="n">
        <v>3</v>
      </c>
      <c r="J69" t="n">
        <v>0</v>
      </c>
      <c r="K69" t="n">
        <v>0</v>
      </c>
      <c r="L69" t="n">
        <v>0</v>
      </c>
      <c r="M69" t="n">
        <v>0</v>
      </c>
      <c r="N69" t="n">
        <v>0</v>
      </c>
      <c r="O69" t="n">
        <v>0</v>
      </c>
      <c r="P69" t="n">
        <v>0</v>
      </c>
      <c r="Q69" t="n">
        <v>0</v>
      </c>
      <c r="R69" t="n">
        <v>0</v>
      </c>
      <c r="S69" t="n">
        <v>0</v>
      </c>
      <c r="T69" t="n">
        <v>0</v>
      </c>
      <c r="U69" t="n">
        <v>0</v>
      </c>
      <c r="V69" s="2" t="inlineStr"/>
    </row>
    <row r="70" ht="15" customHeight="1">
      <c r="A70" t="inlineStr">
        <is>
          <t>A 40744-2025</t>
        </is>
      </c>
      <c r="B70" t="inlineStr">
        <is>
          <t>avverkningsanmälan</t>
        </is>
      </c>
      <c r="C70" t="inlineStr">
        <is>
          <t>Föryngringsavverkning</t>
        </is>
      </c>
      <c r="D70" s="1" t="n">
        <v>45897</v>
      </c>
      <c r="E70" s="1" t="n">
        <v>46299</v>
      </c>
      <c r="F70" t="inlineStr">
        <is>
          <t>VÄRMLANDS LÄN</t>
        </is>
      </c>
      <c r="G70" t="inlineStr">
        <is>
          <t>FORSHAGA</t>
        </is>
      </c>
      <c r="H70" t="inlineStr">
        <is>
          <t>Kyrkan</t>
        </is>
      </c>
      <c r="I70" t="n">
        <v>5.3</v>
      </c>
      <c r="J70" t="n">
        <v>0</v>
      </c>
      <c r="K70" t="n">
        <v>0</v>
      </c>
      <c r="L70" t="n">
        <v>0</v>
      </c>
      <c r="M70" t="n">
        <v>0</v>
      </c>
      <c r="N70" t="n">
        <v>0</v>
      </c>
      <c r="O70" t="n">
        <v>0</v>
      </c>
      <c r="P70" t="n">
        <v>0</v>
      </c>
      <c r="Q70" t="n">
        <v>0</v>
      </c>
      <c r="R70" t="n">
        <v>0</v>
      </c>
      <c r="S70" t="n">
        <v>0</v>
      </c>
      <c r="T70" t="n">
        <v>0</v>
      </c>
      <c r="U70" t="n">
        <v>0</v>
      </c>
      <c r="V70" s="2" t="inlineStr"/>
    </row>
    <row r="71" ht="15" customHeight="1">
      <c r="A71" t="inlineStr">
        <is>
          <t>A 827-2026</t>
        </is>
      </c>
      <c r="B71" t="inlineStr">
        <is>
          <t>avverkningsanmälan</t>
        </is>
      </c>
      <c r="C71" t="inlineStr">
        <is>
          <t>Föryngringsavverkning</t>
        </is>
      </c>
      <c r="D71" s="1" t="n">
        <v>46030</v>
      </c>
      <c r="E71" s="1" t="n">
        <v>46299</v>
      </c>
      <c r="F71" t="inlineStr">
        <is>
          <t>VÄRMLANDS LÄN</t>
        </is>
      </c>
      <c r="G71" t="inlineStr">
        <is>
          <t>FORSHAGA</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46530-2023</t>
        </is>
      </c>
      <c r="B72" t="inlineStr">
        <is>
          <t>avverkningsanmälan</t>
        </is>
      </c>
      <c r="C72" t="inlineStr">
        <is>
          <t>Föryngringsavverkning</t>
        </is>
      </c>
      <c r="D72" s="1" t="n">
        <v>45197</v>
      </c>
      <c r="E72" s="1" t="n">
        <v>46299</v>
      </c>
      <c r="F72" t="inlineStr">
        <is>
          <t>VÄRMLANDS LÄN</t>
        </is>
      </c>
      <c r="G72" t="inlineStr">
        <is>
          <t>FORSHAGA</t>
        </is>
      </c>
      <c r="H72" t="inlineStr">
        <is>
          <t>Bergvik skog väst AB</t>
        </is>
      </c>
      <c r="I72" t="n">
        <v>4.1</v>
      </c>
      <c r="J72" t="n">
        <v>0</v>
      </c>
      <c r="K72" t="n">
        <v>0</v>
      </c>
      <c r="L72" t="n">
        <v>0</v>
      </c>
      <c r="M72" t="n">
        <v>0</v>
      </c>
      <c r="N72" t="n">
        <v>0</v>
      </c>
      <c r="O72" t="n">
        <v>0</v>
      </c>
      <c r="P72" t="n">
        <v>0</v>
      </c>
      <c r="Q72" t="n">
        <v>0</v>
      </c>
      <c r="R72" t="n">
        <v>0</v>
      </c>
      <c r="S72" t="n">
        <v>0</v>
      </c>
      <c r="T72" t="n">
        <v>0</v>
      </c>
      <c r="U72" t="n">
        <v>0</v>
      </c>
      <c r="V72" s="2" t="inlineStr"/>
    </row>
    <row r="73" ht="15" customHeight="1">
      <c r="A73" t="inlineStr">
        <is>
          <t>A 42441-2025</t>
        </is>
      </c>
      <c r="B73" t="inlineStr">
        <is>
          <t>avverkningsanmälan</t>
        </is>
      </c>
      <c r="C73" t="inlineStr">
        <is>
          <t>Föryngringsavverkning</t>
        </is>
      </c>
      <c r="D73" s="1" t="n">
        <v>45905</v>
      </c>
      <c r="E73" s="1" t="n">
        <v>46299</v>
      </c>
      <c r="F73" t="inlineStr">
        <is>
          <t>VÄRMLANDS LÄN</t>
        </is>
      </c>
      <c r="G73" t="inlineStr">
        <is>
          <t>FORSHAGA</t>
        </is>
      </c>
      <c r="I73" t="n">
        <v>4.1</v>
      </c>
      <c r="J73" t="n">
        <v>0</v>
      </c>
      <c r="K73" t="n">
        <v>0</v>
      </c>
      <c r="L73" t="n">
        <v>0</v>
      </c>
      <c r="M73" t="n">
        <v>0</v>
      </c>
      <c r="N73" t="n">
        <v>0</v>
      </c>
      <c r="O73" t="n">
        <v>0</v>
      </c>
      <c r="P73" t="n">
        <v>0</v>
      </c>
      <c r="Q73" t="n">
        <v>0</v>
      </c>
      <c r="R73" t="n">
        <v>0</v>
      </c>
      <c r="S73" t="n">
        <v>0</v>
      </c>
      <c r="T73" t="n">
        <v>0</v>
      </c>
      <c r="U73" t="n">
        <v>0</v>
      </c>
      <c r="V73" s="2" t="inlineStr"/>
    </row>
    <row r="74" ht="15" customHeight="1">
      <c r="A74" t="inlineStr">
        <is>
          <t>A 73267-2021</t>
        </is>
      </c>
      <c r="B74" t="inlineStr">
        <is>
          <t>avverkningsanmälan</t>
        </is>
      </c>
      <c r="C74" t="inlineStr">
        <is>
          <t>Föryngringsavverkning</t>
        </is>
      </c>
      <c r="D74" s="1" t="n">
        <v>44550</v>
      </c>
      <c r="E74" s="1" t="n">
        <v>46299</v>
      </c>
      <c r="F74" t="inlineStr">
        <is>
          <t>VÄRMLANDS LÄN</t>
        </is>
      </c>
      <c r="G74" t="inlineStr">
        <is>
          <t>FORSHAGA</t>
        </is>
      </c>
      <c r="I74" t="n">
        <v>2.2</v>
      </c>
      <c r="J74" t="n">
        <v>0</v>
      </c>
      <c r="K74" t="n">
        <v>0</v>
      </c>
      <c r="L74" t="n">
        <v>0</v>
      </c>
      <c r="M74" t="n">
        <v>0</v>
      </c>
      <c r="N74" t="n">
        <v>0</v>
      </c>
      <c r="O74" t="n">
        <v>0</v>
      </c>
      <c r="P74" t="n">
        <v>0</v>
      </c>
      <c r="Q74" t="n">
        <v>0</v>
      </c>
      <c r="R74" t="n">
        <v>0</v>
      </c>
      <c r="S74" t="n">
        <v>0</v>
      </c>
      <c r="T74" t="n">
        <v>0</v>
      </c>
      <c r="U74" t="n">
        <v>0</v>
      </c>
      <c r="V74" s="2" t="inlineStr"/>
    </row>
    <row r="75" ht="15" customHeight="1">
      <c r="A75" t="inlineStr">
        <is>
          <t>A 42572-2025</t>
        </is>
      </c>
      <c r="B75" t="inlineStr">
        <is>
          <t>avverkningsanmälan</t>
        </is>
      </c>
      <c r="C75" t="inlineStr">
        <is>
          <t>Föryngringsavverkning</t>
        </is>
      </c>
      <c r="D75" s="1" t="n">
        <v>45905</v>
      </c>
      <c r="E75" s="1" t="n">
        <v>46299</v>
      </c>
      <c r="F75" t="inlineStr">
        <is>
          <t>VÄRMLANDS LÄN</t>
        </is>
      </c>
      <c r="G75" t="inlineStr">
        <is>
          <t>FORSHAGA</t>
        </is>
      </c>
      <c r="I75" t="n">
        <v>12.5</v>
      </c>
      <c r="J75" t="n">
        <v>0</v>
      </c>
      <c r="K75" t="n">
        <v>0</v>
      </c>
      <c r="L75" t="n">
        <v>0</v>
      </c>
      <c r="M75" t="n">
        <v>0</v>
      </c>
      <c r="N75" t="n">
        <v>0</v>
      </c>
      <c r="O75" t="n">
        <v>0</v>
      </c>
      <c r="P75" t="n">
        <v>0</v>
      </c>
      <c r="Q75" t="n">
        <v>0</v>
      </c>
      <c r="R75" t="n">
        <v>0</v>
      </c>
      <c r="S75" t="n">
        <v>0</v>
      </c>
      <c r="T75" t="n">
        <v>0</v>
      </c>
      <c r="U75" t="n">
        <v>0</v>
      </c>
      <c r="V75" s="2" t="inlineStr"/>
    </row>
    <row r="76" ht="15" customHeight="1">
      <c r="A76" t="inlineStr">
        <is>
          <t>A 26037-2023</t>
        </is>
      </c>
      <c r="B76" t="inlineStr">
        <is>
          <t>avverkningsanmälan</t>
        </is>
      </c>
      <c r="C76" t="inlineStr">
        <is>
          <t>Föryngringsavverkning</t>
        </is>
      </c>
      <c r="D76" s="1" t="n">
        <v>45091</v>
      </c>
      <c r="E76" s="1" t="n">
        <v>46299</v>
      </c>
      <c r="F76" t="inlineStr">
        <is>
          <t>VÄRMLANDS LÄN</t>
        </is>
      </c>
      <c r="G76" t="inlineStr">
        <is>
          <t>FORSHAGA</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8952-2024</t>
        </is>
      </c>
      <c r="B77" t="inlineStr">
        <is>
          <t>avverkningsanmälan</t>
        </is>
      </c>
      <c r="C77" t="inlineStr">
        <is>
          <t>Föryngringsavverkning</t>
        </is>
      </c>
      <c r="D77" s="1" t="n">
        <v>45355</v>
      </c>
      <c r="E77" s="1" t="n">
        <v>46299</v>
      </c>
      <c r="F77" t="inlineStr">
        <is>
          <t>VÄRMLANDS LÄN</t>
        </is>
      </c>
      <c r="G77" t="inlineStr">
        <is>
          <t>FORSHAGA</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25462-2025</t>
        </is>
      </c>
      <c r="B78" t="inlineStr">
        <is>
          <t>avverkningsanmälan</t>
        </is>
      </c>
      <c r="C78" t="inlineStr">
        <is>
          <t>Föryngringsavverkning</t>
        </is>
      </c>
      <c r="D78" s="1" t="n">
        <v>45802</v>
      </c>
      <c r="E78" s="1" t="n">
        <v>46299</v>
      </c>
      <c r="F78" t="inlineStr">
        <is>
          <t>VÄRMLANDS LÄN</t>
        </is>
      </c>
      <c r="G78" t="inlineStr">
        <is>
          <t>FORSHAGA</t>
        </is>
      </c>
      <c r="H78" t="inlineStr">
        <is>
          <t>Bergvik skog väst AB</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35335-2024</t>
        </is>
      </c>
      <c r="B79" t="inlineStr">
        <is>
          <t>avverkningsanmälan</t>
        </is>
      </c>
      <c r="C79" t="inlineStr">
        <is>
          <t>Föryngringsavverkning</t>
        </is>
      </c>
      <c r="D79" s="1" t="n">
        <v>45530</v>
      </c>
      <c r="E79" s="1" t="n">
        <v>46299</v>
      </c>
      <c r="F79" t="inlineStr">
        <is>
          <t>VÄRMLANDS LÄN</t>
        </is>
      </c>
      <c r="G79" t="inlineStr">
        <is>
          <t>FORSHAGA</t>
        </is>
      </c>
      <c r="H79" t="inlineStr">
        <is>
          <t>Kommuner</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42370-2025</t>
        </is>
      </c>
      <c r="B80" t="inlineStr">
        <is>
          <t>avverkningsanmälan</t>
        </is>
      </c>
      <c r="C80" t="inlineStr">
        <is>
          <t>Avverkning för annat ändamål</t>
        </is>
      </c>
      <c r="D80" s="1" t="n">
        <v>45905</v>
      </c>
      <c r="E80" s="1" t="n">
        <v>46299</v>
      </c>
      <c r="F80" t="inlineStr">
        <is>
          <t>VÄRMLANDS LÄN</t>
        </is>
      </c>
      <c r="G80" t="inlineStr">
        <is>
          <t>FORSHAGA</t>
        </is>
      </c>
      <c r="H80" t="inlineStr">
        <is>
          <t>Kommuner</t>
        </is>
      </c>
      <c r="I80" t="n">
        <v>0.2</v>
      </c>
      <c r="J80" t="n">
        <v>0</v>
      </c>
      <c r="K80" t="n">
        <v>0</v>
      </c>
      <c r="L80" t="n">
        <v>0</v>
      </c>
      <c r="M80" t="n">
        <v>0</v>
      </c>
      <c r="N80" t="n">
        <v>0</v>
      </c>
      <c r="O80" t="n">
        <v>0</v>
      </c>
      <c r="P80" t="n">
        <v>0</v>
      </c>
      <c r="Q80" t="n">
        <v>0</v>
      </c>
      <c r="R80" t="n">
        <v>0</v>
      </c>
      <c r="S80" t="n">
        <v>0</v>
      </c>
      <c r="T80" t="n">
        <v>0</v>
      </c>
      <c r="U80" t="n">
        <v>0</v>
      </c>
      <c r="V80" s="2" t="inlineStr"/>
    </row>
    <row r="81" ht="15" customHeight="1">
      <c r="A81" t="inlineStr">
        <is>
          <t>A 5971-2026</t>
        </is>
      </c>
      <c r="B81" t="inlineStr">
        <is>
          <t>avverkningsanmälan</t>
        </is>
      </c>
      <c r="C81" t="inlineStr">
        <is>
          <t>Föryngringsavverkning</t>
        </is>
      </c>
      <c r="D81" s="1" t="n">
        <v>46052</v>
      </c>
      <c r="E81" s="1" t="n">
        <v>46299</v>
      </c>
      <c r="F81" t="inlineStr">
        <is>
          <t>VÄRMLANDS LÄN</t>
        </is>
      </c>
      <c r="G81" t="inlineStr">
        <is>
          <t>FORSHAGA</t>
        </is>
      </c>
      <c r="I81" t="n">
        <v>1.3</v>
      </c>
      <c r="J81" t="n">
        <v>0</v>
      </c>
      <c r="K81" t="n">
        <v>0</v>
      </c>
      <c r="L81" t="n">
        <v>0</v>
      </c>
      <c r="M81" t="n">
        <v>0</v>
      </c>
      <c r="N81" t="n">
        <v>0</v>
      </c>
      <c r="O81" t="n">
        <v>0</v>
      </c>
      <c r="P81" t="n">
        <v>0</v>
      </c>
      <c r="Q81" t="n">
        <v>0</v>
      </c>
      <c r="R81" t="n">
        <v>0</v>
      </c>
      <c r="S81" t="n">
        <v>0</v>
      </c>
      <c r="T81" t="n">
        <v>0</v>
      </c>
      <c r="U81" t="n">
        <v>0</v>
      </c>
      <c r="V81" s="2" t="inlineStr"/>
    </row>
    <row r="82" ht="15" customHeight="1">
      <c r="A82" t="inlineStr">
        <is>
          <t>A 35863-2023</t>
        </is>
      </c>
      <c r="B82" t="inlineStr">
        <is>
          <t>avverkningsanmälan</t>
        </is>
      </c>
      <c r="C82" t="inlineStr">
        <is>
          <t>Föryngringsavverkning</t>
        </is>
      </c>
      <c r="D82" s="1" t="n">
        <v>45148</v>
      </c>
      <c r="E82" s="1" t="n">
        <v>46299</v>
      </c>
      <c r="F82" t="inlineStr">
        <is>
          <t>VÄRMLANDS LÄN</t>
        </is>
      </c>
      <c r="G82" t="inlineStr">
        <is>
          <t>FORSHAGA</t>
        </is>
      </c>
      <c r="H82" t="inlineStr">
        <is>
          <t>Kommuner</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46868-2025</t>
        </is>
      </c>
      <c r="B83" t="inlineStr">
        <is>
          <t>avverkningsanmälan</t>
        </is>
      </c>
      <c r="C83" t="inlineStr">
        <is>
          <t>Föryngringsavverkning</t>
        </is>
      </c>
      <c r="D83" s="1" t="n">
        <v>45929</v>
      </c>
      <c r="E83" s="1" t="n">
        <v>46299</v>
      </c>
      <c r="F83" t="inlineStr">
        <is>
          <t>VÄRMLANDS LÄN</t>
        </is>
      </c>
      <c r="G83" t="inlineStr">
        <is>
          <t>FORSHAGA</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48647-2024</t>
        </is>
      </c>
      <c r="B84" t="inlineStr">
        <is>
          <t>avverkningsanmälan</t>
        </is>
      </c>
      <c r="C84" t="inlineStr">
        <is>
          <t>Föryngringsavverkning</t>
        </is>
      </c>
      <c r="D84" s="1" t="n">
        <v>45593</v>
      </c>
      <c r="E84" s="1" t="n">
        <v>46299</v>
      </c>
      <c r="F84" t="inlineStr">
        <is>
          <t>VÄRMLANDS LÄN</t>
        </is>
      </c>
      <c r="G84" t="inlineStr">
        <is>
          <t>FORSHAGA</t>
        </is>
      </c>
      <c r="I84" t="n">
        <v>2.2</v>
      </c>
      <c r="J84" t="n">
        <v>0</v>
      </c>
      <c r="K84" t="n">
        <v>0</v>
      </c>
      <c r="L84" t="n">
        <v>0</v>
      </c>
      <c r="M84" t="n">
        <v>0</v>
      </c>
      <c r="N84" t="n">
        <v>0</v>
      </c>
      <c r="O84" t="n">
        <v>0</v>
      </c>
      <c r="P84" t="n">
        <v>0</v>
      </c>
      <c r="Q84" t="n">
        <v>0</v>
      </c>
      <c r="R84" t="n">
        <v>0</v>
      </c>
      <c r="S84" t="n">
        <v>0</v>
      </c>
      <c r="T84" t="n">
        <v>0</v>
      </c>
      <c r="U84" t="n">
        <v>0</v>
      </c>
      <c r="V84" s="2" t="inlineStr"/>
    </row>
    <row r="85" ht="15" customHeight="1">
      <c r="A85" t="inlineStr">
        <is>
          <t>A 47893-2025</t>
        </is>
      </c>
      <c r="B85" t="inlineStr">
        <is>
          <t>avverkningsanmälan</t>
        </is>
      </c>
      <c r="C85" t="inlineStr">
        <is>
          <t>Föryngringsavverkning</t>
        </is>
      </c>
      <c r="D85" s="1" t="n">
        <v>45932</v>
      </c>
      <c r="E85" s="1" t="n">
        <v>46299</v>
      </c>
      <c r="F85" t="inlineStr">
        <is>
          <t>VÄRMLANDS LÄN</t>
        </is>
      </c>
      <c r="G85" t="inlineStr">
        <is>
          <t>FORSHAGA</t>
        </is>
      </c>
      <c r="I85" t="n">
        <v>2.7</v>
      </c>
      <c r="J85" t="n">
        <v>0</v>
      </c>
      <c r="K85" t="n">
        <v>0</v>
      </c>
      <c r="L85" t="n">
        <v>0</v>
      </c>
      <c r="M85" t="n">
        <v>0</v>
      </c>
      <c r="N85" t="n">
        <v>0</v>
      </c>
      <c r="O85" t="n">
        <v>0</v>
      </c>
      <c r="P85" t="n">
        <v>0</v>
      </c>
      <c r="Q85" t="n">
        <v>0</v>
      </c>
      <c r="R85" t="n">
        <v>0</v>
      </c>
      <c r="S85" t="n">
        <v>0</v>
      </c>
      <c r="T85" t="n">
        <v>0</v>
      </c>
      <c r="U85" t="n">
        <v>0</v>
      </c>
      <c r="V85" s="2" t="inlineStr"/>
    </row>
    <row r="86" ht="15" customHeight="1">
      <c r="A86" t="inlineStr">
        <is>
          <t>A 14382-2023</t>
        </is>
      </c>
      <c r="B86" t="inlineStr">
        <is>
          <t>avverkningsanmälan</t>
        </is>
      </c>
      <c r="C86" t="inlineStr">
        <is>
          <t>Avverkning för annat ändamål</t>
        </is>
      </c>
      <c r="D86" s="1" t="n">
        <v>45012</v>
      </c>
      <c r="E86" s="1" t="n">
        <v>46299</v>
      </c>
      <c r="F86" t="inlineStr">
        <is>
          <t>VÄRMLANDS LÄN</t>
        </is>
      </c>
      <c r="G86" t="inlineStr">
        <is>
          <t>FORSHAGA</t>
        </is>
      </c>
      <c r="H86" t="inlineStr">
        <is>
          <t>Bergvik skog väst AB</t>
        </is>
      </c>
      <c r="I86" t="n">
        <v>2</v>
      </c>
      <c r="J86" t="n">
        <v>0</v>
      </c>
      <c r="K86" t="n">
        <v>0</v>
      </c>
      <c r="L86" t="n">
        <v>0</v>
      </c>
      <c r="M86" t="n">
        <v>0</v>
      </c>
      <c r="N86" t="n">
        <v>0</v>
      </c>
      <c r="O86" t="n">
        <v>0</v>
      </c>
      <c r="P86" t="n">
        <v>0</v>
      </c>
      <c r="Q86" t="n">
        <v>0</v>
      </c>
      <c r="R86" t="n">
        <v>0</v>
      </c>
      <c r="S86" t="n">
        <v>0</v>
      </c>
      <c r="T86" t="n">
        <v>0</v>
      </c>
      <c r="U86" t="n">
        <v>0</v>
      </c>
      <c r="V86" s="2" t="inlineStr"/>
    </row>
    <row r="87" ht="15" customHeight="1">
      <c r="A87" t="inlineStr">
        <is>
          <t>A 47917-2025</t>
        </is>
      </c>
      <c r="B87" t="inlineStr">
        <is>
          <t>avverkningsanmälan</t>
        </is>
      </c>
      <c r="C87" t="inlineStr">
        <is>
          <t>Föryngringsavverkning</t>
        </is>
      </c>
      <c r="D87" s="1" t="n">
        <v>45932</v>
      </c>
      <c r="E87" s="1" t="n">
        <v>46299</v>
      </c>
      <c r="F87" t="inlineStr">
        <is>
          <t>VÄRMLANDS LÄN</t>
        </is>
      </c>
      <c r="G87" t="inlineStr">
        <is>
          <t>FORSHAGA</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47940-2025</t>
        </is>
      </c>
      <c r="B88" t="inlineStr">
        <is>
          <t>avverkningsanmälan</t>
        </is>
      </c>
      <c r="C88" t="inlineStr">
        <is>
          <t>Föryngringsavverkning</t>
        </is>
      </c>
      <c r="D88" s="1" t="n">
        <v>45932</v>
      </c>
      <c r="E88" s="1" t="n">
        <v>46299</v>
      </c>
      <c r="F88" t="inlineStr">
        <is>
          <t>VÄRMLANDS LÄN</t>
        </is>
      </c>
      <c r="G88" t="inlineStr">
        <is>
          <t>FORSHAGA</t>
        </is>
      </c>
      <c r="I88" t="n">
        <v>3</v>
      </c>
      <c r="J88" t="n">
        <v>0</v>
      </c>
      <c r="K88" t="n">
        <v>0</v>
      </c>
      <c r="L88" t="n">
        <v>0</v>
      </c>
      <c r="M88" t="n">
        <v>0</v>
      </c>
      <c r="N88" t="n">
        <v>0</v>
      </c>
      <c r="O88" t="n">
        <v>0</v>
      </c>
      <c r="P88" t="n">
        <v>0</v>
      </c>
      <c r="Q88" t="n">
        <v>0</v>
      </c>
      <c r="R88" t="n">
        <v>0</v>
      </c>
      <c r="S88" t="n">
        <v>0</v>
      </c>
      <c r="T88" t="n">
        <v>0</v>
      </c>
      <c r="U88" t="n">
        <v>0</v>
      </c>
      <c r="V88" s="2" t="inlineStr"/>
    </row>
    <row r="89" ht="15" customHeight="1">
      <c r="A89" t="inlineStr">
        <is>
          <t>A 20244-2023</t>
        </is>
      </c>
      <c r="B89" t="inlineStr">
        <is>
          <t>avverkningsanmälan</t>
        </is>
      </c>
      <c r="C89" t="inlineStr">
        <is>
          <t>Föryngringsavverkning</t>
        </is>
      </c>
      <c r="D89" s="1" t="n">
        <v>45055</v>
      </c>
      <c r="E89" s="1" t="n">
        <v>46299</v>
      </c>
      <c r="F89" t="inlineStr">
        <is>
          <t>VÄRMLANDS LÄN</t>
        </is>
      </c>
      <c r="G89" t="inlineStr">
        <is>
          <t>FORSHAGA</t>
        </is>
      </c>
      <c r="I89" t="n">
        <v>1.7</v>
      </c>
      <c r="J89" t="n">
        <v>0</v>
      </c>
      <c r="K89" t="n">
        <v>0</v>
      </c>
      <c r="L89" t="n">
        <v>0</v>
      </c>
      <c r="M89" t="n">
        <v>0</v>
      </c>
      <c r="N89" t="n">
        <v>0</v>
      </c>
      <c r="O89" t="n">
        <v>0</v>
      </c>
      <c r="P89" t="n">
        <v>0</v>
      </c>
      <c r="Q89" t="n">
        <v>0</v>
      </c>
      <c r="R89" t="n">
        <v>0</v>
      </c>
      <c r="S89" t="n">
        <v>0</v>
      </c>
      <c r="T89" t="n">
        <v>0</v>
      </c>
      <c r="U89" t="n">
        <v>0</v>
      </c>
      <c r="V89" s="2" t="inlineStr"/>
    </row>
    <row r="90" ht="15" customHeight="1">
      <c r="A90" t="inlineStr">
        <is>
          <t>A 11765-2025</t>
        </is>
      </c>
      <c r="B90" t="inlineStr">
        <is>
          <t>avverkningsanmälan</t>
        </is>
      </c>
      <c r="C90" t="inlineStr">
        <is>
          <t>Föryngringsavverkning</t>
        </is>
      </c>
      <c r="D90" s="1" t="n">
        <v>45727</v>
      </c>
      <c r="E90" s="1" t="n">
        <v>46299</v>
      </c>
      <c r="F90" t="inlineStr">
        <is>
          <t>VÄRMLANDS LÄN</t>
        </is>
      </c>
      <c r="G90" t="inlineStr">
        <is>
          <t>FORSHAGA</t>
        </is>
      </c>
      <c r="H90" t="inlineStr">
        <is>
          <t>Bergvik skog väst AB</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51123-2025</t>
        </is>
      </c>
      <c r="B91" t="inlineStr">
        <is>
          <t>avverkningsanmälan</t>
        </is>
      </c>
      <c r="C91" t="inlineStr">
        <is>
          <t>Föryngringsavverkning</t>
        </is>
      </c>
      <c r="D91" s="1" t="n">
        <v>45947</v>
      </c>
      <c r="E91" s="1" t="n">
        <v>46299</v>
      </c>
      <c r="F91" t="inlineStr">
        <is>
          <t>VÄRMLANDS LÄN</t>
        </is>
      </c>
      <c r="G91" t="inlineStr">
        <is>
          <t>FORSHAGA</t>
        </is>
      </c>
      <c r="I91" t="n">
        <v>3.1</v>
      </c>
      <c r="J91" t="n">
        <v>0</v>
      </c>
      <c r="K91" t="n">
        <v>0</v>
      </c>
      <c r="L91" t="n">
        <v>0</v>
      </c>
      <c r="M91" t="n">
        <v>0</v>
      </c>
      <c r="N91" t="n">
        <v>0</v>
      </c>
      <c r="O91" t="n">
        <v>0</v>
      </c>
      <c r="P91" t="n">
        <v>0</v>
      </c>
      <c r="Q91" t="n">
        <v>0</v>
      </c>
      <c r="R91" t="n">
        <v>0</v>
      </c>
      <c r="S91" t="n">
        <v>0</v>
      </c>
      <c r="T91" t="n">
        <v>0</v>
      </c>
      <c r="U91" t="n">
        <v>0</v>
      </c>
      <c r="V91" s="2" t="inlineStr"/>
    </row>
    <row r="92" ht="15" customHeight="1">
      <c r="A92" t="inlineStr">
        <is>
          <t>A 20862-2024</t>
        </is>
      </c>
      <c r="B92" t="inlineStr">
        <is>
          <t>avverkningsanmälan</t>
        </is>
      </c>
      <c r="C92" t="inlineStr">
        <is>
          <t>Föryngringsavverkning</t>
        </is>
      </c>
      <c r="D92" s="1" t="n">
        <v>45439</v>
      </c>
      <c r="E92" s="1" t="n">
        <v>46299</v>
      </c>
      <c r="F92" t="inlineStr">
        <is>
          <t>VÄRMLANDS LÄN</t>
        </is>
      </c>
      <c r="G92" t="inlineStr">
        <is>
          <t>FORSHAGA</t>
        </is>
      </c>
      <c r="I92" t="n">
        <v>9.199999999999999</v>
      </c>
      <c r="J92" t="n">
        <v>0</v>
      </c>
      <c r="K92" t="n">
        <v>0</v>
      </c>
      <c r="L92" t="n">
        <v>0</v>
      </c>
      <c r="M92" t="n">
        <v>0</v>
      </c>
      <c r="N92" t="n">
        <v>0</v>
      </c>
      <c r="O92" t="n">
        <v>0</v>
      </c>
      <c r="P92" t="n">
        <v>0</v>
      </c>
      <c r="Q92" t="n">
        <v>0</v>
      </c>
      <c r="R92" t="n">
        <v>0</v>
      </c>
      <c r="S92" t="n">
        <v>0</v>
      </c>
      <c r="T92" t="n">
        <v>0</v>
      </c>
      <c r="U92" t="n">
        <v>0</v>
      </c>
      <c r="V92" s="2" t="inlineStr"/>
    </row>
    <row r="93" ht="15" customHeight="1">
      <c r="A93" t="inlineStr">
        <is>
          <t>A 10987-2026</t>
        </is>
      </c>
      <c r="B93" t="inlineStr">
        <is>
          <t>avverkningsanmälan</t>
        </is>
      </c>
      <c r="C93" t="inlineStr">
        <is>
          <t>Föryngringsavverkning</t>
        </is>
      </c>
      <c r="D93" s="1" t="n">
        <v>46079</v>
      </c>
      <c r="E93" s="1" t="n">
        <v>46299</v>
      </c>
      <c r="F93" t="inlineStr">
        <is>
          <t>VÄRMLANDS LÄN</t>
        </is>
      </c>
      <c r="G93" t="inlineStr">
        <is>
          <t>FORSHAGA</t>
        </is>
      </c>
      <c r="H93" t="inlineStr">
        <is>
          <t>Bergvik skog väst AB</t>
        </is>
      </c>
      <c r="I93" t="n">
        <v>4.2</v>
      </c>
      <c r="J93" t="n">
        <v>0</v>
      </c>
      <c r="K93" t="n">
        <v>0</v>
      </c>
      <c r="L93" t="n">
        <v>0</v>
      </c>
      <c r="M93" t="n">
        <v>0</v>
      </c>
      <c r="N93" t="n">
        <v>0</v>
      </c>
      <c r="O93" t="n">
        <v>0</v>
      </c>
      <c r="P93" t="n">
        <v>0</v>
      </c>
      <c r="Q93" t="n">
        <v>0</v>
      </c>
      <c r="R93" t="n">
        <v>0</v>
      </c>
      <c r="S93" t="n">
        <v>0</v>
      </c>
      <c r="T93" t="n">
        <v>0</v>
      </c>
      <c r="U93" t="n">
        <v>0</v>
      </c>
      <c r="V93" s="2" t="inlineStr"/>
    </row>
    <row r="94" ht="15" customHeight="1">
      <c r="A94" t="inlineStr">
        <is>
          <t>A 2812-2023</t>
        </is>
      </c>
      <c r="B94" t="inlineStr">
        <is>
          <t>avverkningsanmälan</t>
        </is>
      </c>
      <c r="C94" t="inlineStr">
        <is>
          <t>Föryngringsavverkning</t>
        </is>
      </c>
      <c r="D94" s="1" t="n">
        <v>44944</v>
      </c>
      <c r="E94" s="1" t="n">
        <v>46299</v>
      </c>
      <c r="F94" t="inlineStr">
        <is>
          <t>VÄRMLANDS LÄN</t>
        </is>
      </c>
      <c r="G94" t="inlineStr">
        <is>
          <t>FORSHAGA</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26869-2024</t>
        </is>
      </c>
      <c r="B95" t="inlineStr">
        <is>
          <t>avverkningsanmälan</t>
        </is>
      </c>
      <c r="C95" t="inlineStr">
        <is>
          <t>Avverkning för att bevara och utveckla /försöksver</t>
        </is>
      </c>
      <c r="D95" s="1" t="n">
        <v>45470</v>
      </c>
      <c r="E95" s="1" t="n">
        <v>46299</v>
      </c>
      <c r="F95" t="inlineStr">
        <is>
          <t>VÄRMLANDS LÄN</t>
        </is>
      </c>
      <c r="G95" t="inlineStr">
        <is>
          <t>FORSHAGA</t>
        </is>
      </c>
      <c r="H95" t="inlineStr">
        <is>
          <t>Bergvik skog väst AB</t>
        </is>
      </c>
      <c r="I95" t="n">
        <v>2.3</v>
      </c>
      <c r="J95" t="n">
        <v>0</v>
      </c>
      <c r="K95" t="n">
        <v>0</v>
      </c>
      <c r="L95" t="n">
        <v>0</v>
      </c>
      <c r="M95" t="n">
        <v>0</v>
      </c>
      <c r="N95" t="n">
        <v>0</v>
      </c>
      <c r="O95" t="n">
        <v>0</v>
      </c>
      <c r="P95" t="n">
        <v>0</v>
      </c>
      <c r="Q95" t="n">
        <v>0</v>
      </c>
      <c r="R95" t="n">
        <v>0</v>
      </c>
      <c r="S95" t="n">
        <v>0</v>
      </c>
      <c r="T95" t="n">
        <v>0</v>
      </c>
      <c r="U95" t="n">
        <v>0</v>
      </c>
      <c r="V95" s="2" t="inlineStr"/>
    </row>
    <row r="96" ht="15" customHeight="1">
      <c r="A96" t="inlineStr">
        <is>
          <t>A 6909-2025</t>
        </is>
      </c>
      <c r="B96" t="inlineStr">
        <is>
          <t>avverkningsanmälan</t>
        </is>
      </c>
      <c r="C96" t="inlineStr">
        <is>
          <t>Avverkning för att bevara och utveckla /försöksver</t>
        </is>
      </c>
      <c r="D96" s="1" t="n">
        <v>45701</v>
      </c>
      <c r="E96" s="1" t="n">
        <v>46299</v>
      </c>
      <c r="F96" t="inlineStr">
        <is>
          <t>VÄRMLANDS LÄN</t>
        </is>
      </c>
      <c r="G96" t="inlineStr">
        <is>
          <t>FORSHAGA</t>
        </is>
      </c>
      <c r="H96" t="inlineStr">
        <is>
          <t>Bergvik skog väst AB</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9693-2025</t>
        </is>
      </c>
      <c r="B97" t="inlineStr">
        <is>
          <t>avverkningsanmälan</t>
        </is>
      </c>
      <c r="C97" t="inlineStr">
        <is>
          <t>Föryngringsavverkning</t>
        </is>
      </c>
      <c r="D97" s="1" t="n">
        <v>45716</v>
      </c>
      <c r="E97" s="1" t="n">
        <v>46299</v>
      </c>
      <c r="F97" t="inlineStr">
        <is>
          <t>VÄRMLANDS LÄN</t>
        </is>
      </c>
      <c r="G97" t="inlineStr">
        <is>
          <t>FORSHAGA</t>
        </is>
      </c>
      <c r="H97" t="inlineStr">
        <is>
          <t>Bergvik skog väst AB</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12086-2026</t>
        </is>
      </c>
      <c r="B98" t="inlineStr">
        <is>
          <t>avverkningsanmälan</t>
        </is>
      </c>
      <c r="C98" t="inlineStr">
        <is>
          <t>Avverkning för att bevara och utveckla /försöksver</t>
        </is>
      </c>
      <c r="D98" s="1" t="n">
        <v>46086</v>
      </c>
      <c r="E98" s="1" t="n">
        <v>46299</v>
      </c>
      <c r="F98" t="inlineStr">
        <is>
          <t>VÄRMLANDS LÄN</t>
        </is>
      </c>
      <c r="G98" t="inlineStr">
        <is>
          <t>FORSHAGA</t>
        </is>
      </c>
      <c r="H98" t="inlineStr">
        <is>
          <t>Bergvik skog väst AB</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6118-2024</t>
        </is>
      </c>
      <c r="B99" t="inlineStr">
        <is>
          <t>avverkningsanmälan</t>
        </is>
      </c>
      <c r="C99" t="inlineStr">
        <is>
          <t>Föryngringsavverkning</t>
        </is>
      </c>
      <c r="D99" s="1" t="n">
        <v>45337</v>
      </c>
      <c r="E99" s="1" t="n">
        <v>46299</v>
      </c>
      <c r="F99" t="inlineStr">
        <is>
          <t>VÄRMLANDS LÄN</t>
        </is>
      </c>
      <c r="G99" t="inlineStr">
        <is>
          <t>FORSHAGA</t>
        </is>
      </c>
      <c r="I99" t="n">
        <v>4.4</v>
      </c>
      <c r="J99" t="n">
        <v>0</v>
      </c>
      <c r="K99" t="n">
        <v>0</v>
      </c>
      <c r="L99" t="n">
        <v>0</v>
      </c>
      <c r="M99" t="n">
        <v>0</v>
      </c>
      <c r="N99" t="n">
        <v>0</v>
      </c>
      <c r="O99" t="n">
        <v>0</v>
      </c>
      <c r="P99" t="n">
        <v>0</v>
      </c>
      <c r="Q99" t="n">
        <v>0</v>
      </c>
      <c r="R99" t="n">
        <v>0</v>
      </c>
      <c r="S99" t="n">
        <v>0</v>
      </c>
      <c r="T99" t="n">
        <v>0</v>
      </c>
      <c r="U99" t="n">
        <v>0</v>
      </c>
      <c r="V99" s="2" t="inlineStr"/>
    </row>
    <row r="100" ht="15" customHeight="1">
      <c r="A100" t="inlineStr">
        <is>
          <t>A 13198-2024</t>
        </is>
      </c>
      <c r="B100" t="inlineStr">
        <is>
          <t>avverkningsanmälan</t>
        </is>
      </c>
      <c r="C100" t="inlineStr">
        <is>
          <t>Föryngringsavverkning</t>
        </is>
      </c>
      <c r="D100" s="1" t="n">
        <v>45386</v>
      </c>
      <c r="E100" s="1" t="n">
        <v>46299</v>
      </c>
      <c r="F100" t="inlineStr">
        <is>
          <t>VÄRMLANDS LÄN</t>
        </is>
      </c>
      <c r="G100" t="inlineStr">
        <is>
          <t>FORSHAGA</t>
        </is>
      </c>
      <c r="I100" t="n">
        <v>4.2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64121-2023</t>
        </is>
      </c>
      <c r="B101" t="inlineStr">
        <is>
          <t>avverkningsanmälan</t>
        </is>
      </c>
      <c r="C101" t="inlineStr">
        <is>
          <t>Avverkning för annat ändamål</t>
        </is>
      </c>
      <c r="D101" s="1" t="n">
        <v>45279</v>
      </c>
      <c r="E101" s="1" t="n">
        <v>46299</v>
      </c>
      <c r="F101" t="inlineStr">
        <is>
          <t>VÄRMLANDS LÄN</t>
        </is>
      </c>
      <c r="G101" t="inlineStr">
        <is>
          <t>FORSHAGA</t>
        </is>
      </c>
      <c r="I101" t="n">
        <v>0.1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33218-2023</t>
        </is>
      </c>
      <c r="B102" t="inlineStr">
        <is>
          <t>avverkningsanmälan</t>
        </is>
      </c>
      <c r="C102" t="inlineStr">
        <is>
          <t>Föryngringsavverkning</t>
        </is>
      </c>
      <c r="D102" s="1" t="n">
        <v>45127</v>
      </c>
      <c r="E102" s="1" t="n">
        <v>46299</v>
      </c>
      <c r="F102" t="inlineStr">
        <is>
          <t>VÄRMLANDS LÄN</t>
        </is>
      </c>
      <c r="G102" t="inlineStr">
        <is>
          <t>FORSHAGA</t>
        </is>
      </c>
      <c r="H102" t="inlineStr">
        <is>
          <t>Kommuner</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33224-2023</t>
        </is>
      </c>
      <c r="B103" t="inlineStr">
        <is>
          <t>avverkningsanmälan</t>
        </is>
      </c>
      <c r="C103" t="inlineStr">
        <is>
          <t>Föryngringsavverkning</t>
        </is>
      </c>
      <c r="D103" s="1" t="n">
        <v>45127</v>
      </c>
      <c r="E103" s="1" t="n">
        <v>46299</v>
      </c>
      <c r="F103" t="inlineStr">
        <is>
          <t>VÄRMLANDS LÄN</t>
        </is>
      </c>
      <c r="G103" t="inlineStr">
        <is>
          <t>FORSHAGA</t>
        </is>
      </c>
      <c r="H103" t="inlineStr">
        <is>
          <t>Kommuner</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16885-2025</t>
        </is>
      </c>
      <c r="B104" t="inlineStr">
        <is>
          <t>avverkningsanmälan</t>
        </is>
      </c>
      <c r="C104" t="inlineStr">
        <is>
          <t>Föryngringsavverkning</t>
        </is>
      </c>
      <c r="D104" s="1" t="n">
        <v>45755</v>
      </c>
      <c r="E104" s="1" t="n">
        <v>46299</v>
      </c>
      <c r="F104" t="inlineStr">
        <is>
          <t>VÄRMLANDS LÄN</t>
        </is>
      </c>
      <c r="G104" t="inlineStr">
        <is>
          <t>FORSHAGA</t>
        </is>
      </c>
      <c r="I104" t="n">
        <v>7.1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27995-2024</t>
        </is>
      </c>
      <c r="B105" t="inlineStr">
        <is>
          <t>avverkningsanmälan</t>
        </is>
      </c>
      <c r="C105" t="inlineStr">
        <is>
          <t>Föryngringsavverkning</t>
        </is>
      </c>
      <c r="D105" s="1" t="n">
        <v>45476</v>
      </c>
      <c r="E105" s="1" t="n">
        <v>46299</v>
      </c>
      <c r="F105" t="inlineStr">
        <is>
          <t>VÄRMLANDS LÄN</t>
        </is>
      </c>
      <c r="G105" t="inlineStr">
        <is>
          <t>FORSHAGA</t>
        </is>
      </c>
      <c r="I105" t="n">
        <v>3.8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55433-2025</t>
        </is>
      </c>
      <c r="B106" t="inlineStr">
        <is>
          <t>avverkningsanmälan</t>
        </is>
      </c>
      <c r="C106" t="inlineStr">
        <is>
          <t>Föryngringsavverkning</t>
        </is>
      </c>
      <c r="D106" s="1" t="n">
        <v>45971</v>
      </c>
      <c r="E106" s="1" t="n">
        <v>46299</v>
      </c>
      <c r="F106" t="inlineStr">
        <is>
          <t>VÄRMLANDS LÄN</t>
        </is>
      </c>
      <c r="G106" t="inlineStr">
        <is>
          <t>FORSHAGA</t>
        </is>
      </c>
      <c r="I106" t="n">
        <v>14.2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9524-2024</t>
        </is>
      </c>
      <c r="B107" t="inlineStr">
        <is>
          <t>avverkningsanmälan</t>
        </is>
      </c>
      <c r="C107" t="inlineStr">
        <is>
          <t>Avverkning för annat ändamål</t>
        </is>
      </c>
      <c r="D107" s="1" t="n">
        <v>45359</v>
      </c>
      <c r="E107" s="1" t="n">
        <v>46299</v>
      </c>
      <c r="F107" t="inlineStr">
        <is>
          <t>VÄRMLANDS LÄN</t>
        </is>
      </c>
      <c r="G107" t="inlineStr">
        <is>
          <t>FORSHAGA</t>
        </is>
      </c>
      <c r="H107" t="inlineStr">
        <is>
          <t>Kommuner</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65915-2021</t>
        </is>
      </c>
      <c r="B108" t="inlineStr">
        <is>
          <t>avverkningsanmälan</t>
        </is>
      </c>
      <c r="C108" t="inlineStr">
        <is>
          <t>Föryngringsavverkning</t>
        </is>
      </c>
      <c r="D108" s="1" t="n">
        <v>44517</v>
      </c>
      <c r="E108" s="1" t="n">
        <v>46299</v>
      </c>
      <c r="F108" t="inlineStr">
        <is>
          <t>VÄRMLANDS LÄN</t>
        </is>
      </c>
      <c r="G108" t="inlineStr">
        <is>
          <t>FORSHAGA</t>
        </is>
      </c>
      <c r="I108" t="n">
        <v>17.2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16109-2026</t>
        </is>
      </c>
      <c r="B109" t="inlineStr">
        <is>
          <t>avverkningsanmälan</t>
        </is>
      </c>
      <c r="C109" t="inlineStr">
        <is>
          <t>Föryngringsavverkning</t>
        </is>
      </c>
      <c r="D109" s="1" t="n">
        <v>46108</v>
      </c>
      <c r="E109" s="1" t="n">
        <v>46299</v>
      </c>
      <c r="F109" t="inlineStr">
        <is>
          <t>VÄRMLANDS LÄN</t>
        </is>
      </c>
      <c r="G109" t="inlineStr">
        <is>
          <t>FORSHAGA</t>
        </is>
      </c>
      <c r="H109" t="inlineStr">
        <is>
          <t>Bergvik skog väst AB</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39407-2024</t>
        </is>
      </c>
      <c r="B110" t="inlineStr">
        <is>
          <t>avverkningsanmälan</t>
        </is>
      </c>
      <c r="C110" t="inlineStr">
        <is>
          <t>Föryngringsavverkning</t>
        </is>
      </c>
      <c r="D110" s="1" t="n">
        <v>45551</v>
      </c>
      <c r="E110" s="1" t="n">
        <v>46299</v>
      </c>
      <c r="F110" t="inlineStr">
        <is>
          <t>VÄRMLANDS LÄN</t>
        </is>
      </c>
      <c r="G110" t="inlineStr">
        <is>
          <t>FORSHAGA</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17519-2024</t>
        </is>
      </c>
      <c r="B111" t="inlineStr">
        <is>
          <t>avverkningsanmälan</t>
        </is>
      </c>
      <c r="C111" t="inlineStr">
        <is>
          <t>Föryngringsavverkning</t>
        </is>
      </c>
      <c r="D111" s="1" t="n">
        <v>45415</v>
      </c>
      <c r="E111" s="1" t="n">
        <v>46299</v>
      </c>
      <c r="F111" t="inlineStr">
        <is>
          <t>VÄRMLANDS LÄN</t>
        </is>
      </c>
      <c r="G111" t="inlineStr">
        <is>
          <t>FORSHAGA</t>
        </is>
      </c>
      <c r="H111" t="inlineStr">
        <is>
          <t>Bergvik skog väst AB</t>
        </is>
      </c>
      <c r="I111" t="n">
        <v>4.5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59298-2025</t>
        </is>
      </c>
      <c r="B112" t="inlineStr">
        <is>
          <t>avverkningsanmälan</t>
        </is>
      </c>
      <c r="C112" t="inlineStr">
        <is>
          <t>Föryngringsavverkning</t>
        </is>
      </c>
      <c r="D112" s="1" t="n">
        <v>45988</v>
      </c>
      <c r="E112" s="1" t="n">
        <v>46299</v>
      </c>
      <c r="F112" t="inlineStr">
        <is>
          <t>VÄRMLANDS LÄN</t>
        </is>
      </c>
      <c r="G112" t="inlineStr">
        <is>
          <t>FORSHAGA</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59090-2025</t>
        </is>
      </c>
      <c r="B113" t="inlineStr">
        <is>
          <t>avverkningsanmälan</t>
        </is>
      </c>
      <c r="C113" t="inlineStr">
        <is>
          <t>Föryngringsavverkning</t>
        </is>
      </c>
      <c r="D113" s="1" t="n">
        <v>45988</v>
      </c>
      <c r="E113" s="1" t="n">
        <v>46299</v>
      </c>
      <c r="F113" t="inlineStr">
        <is>
          <t>VÄRMLANDS LÄN</t>
        </is>
      </c>
      <c r="G113" t="inlineStr">
        <is>
          <t>FORSHAGA</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59933-2025</t>
        </is>
      </c>
      <c r="B114" t="inlineStr">
        <is>
          <t>avverkningsanmälan</t>
        </is>
      </c>
      <c r="C114" t="inlineStr">
        <is>
          <t>Föryngringsavverkning</t>
        </is>
      </c>
      <c r="D114" s="1" t="n">
        <v>45993</v>
      </c>
      <c r="E114" s="1" t="n">
        <v>46299</v>
      </c>
      <c r="F114" t="inlineStr">
        <is>
          <t>VÄRMLANDS LÄN</t>
        </is>
      </c>
      <c r="G114" t="inlineStr">
        <is>
          <t>FORSHAGA</t>
        </is>
      </c>
      <c r="H114" t="inlineStr">
        <is>
          <t>Kyrkan</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59919-2025</t>
        </is>
      </c>
      <c r="B115" t="inlineStr">
        <is>
          <t>avverkningsanmälan</t>
        </is>
      </c>
      <c r="C115" t="inlineStr">
        <is>
          <t>Föryngringsavverkning</t>
        </is>
      </c>
      <c r="D115" s="1" t="n">
        <v>45993</v>
      </c>
      <c r="E115" s="1" t="n">
        <v>46299</v>
      </c>
      <c r="F115" t="inlineStr">
        <is>
          <t>VÄRMLANDS LÄN</t>
        </is>
      </c>
      <c r="G115" t="inlineStr">
        <is>
          <t>FORSHAGA</t>
        </is>
      </c>
      <c r="H115" t="inlineStr">
        <is>
          <t>Kyrkan</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17897-2026</t>
        </is>
      </c>
      <c r="B116" t="inlineStr">
        <is>
          <t>avverkningsanmälan</t>
        </is>
      </c>
      <c r="C116" t="inlineStr">
        <is>
          <t>Föryngringsavverkning</t>
        </is>
      </c>
      <c r="D116" s="1" t="n">
        <v>46122</v>
      </c>
      <c r="E116" s="1" t="n">
        <v>46299</v>
      </c>
      <c r="F116" t="inlineStr">
        <is>
          <t>VÄRMLANDS LÄN</t>
        </is>
      </c>
      <c r="G116" t="inlineStr">
        <is>
          <t>FORSHAGA</t>
        </is>
      </c>
      <c r="H116" t="inlineStr">
        <is>
          <t>Bergvik skog väst AB</t>
        </is>
      </c>
      <c r="I116" t="n">
        <v>8.4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17720-2026</t>
        </is>
      </c>
      <c r="B117" t="inlineStr">
        <is>
          <t>avverkningsanmälan</t>
        </is>
      </c>
      <c r="C117" t="inlineStr">
        <is>
          <t>Föryngringsavverkning</t>
        </is>
      </c>
      <c r="D117" s="1" t="n">
        <v>46121</v>
      </c>
      <c r="E117" s="1" t="n">
        <v>46299</v>
      </c>
      <c r="F117" t="inlineStr">
        <is>
          <t>VÄRMLANDS LÄN</t>
        </is>
      </c>
      <c r="G117" t="inlineStr">
        <is>
          <t>FORSHAGA</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59955-2025</t>
        </is>
      </c>
      <c r="B118" t="inlineStr">
        <is>
          <t>avverkningsanmälan</t>
        </is>
      </c>
      <c r="C118" t="inlineStr">
        <is>
          <t>Föryngringsavverkning</t>
        </is>
      </c>
      <c r="D118" s="1" t="n">
        <v>45993</v>
      </c>
      <c r="E118" s="1" t="n">
        <v>46299</v>
      </c>
      <c r="F118" t="inlineStr">
        <is>
          <t>VÄRMLANDS LÄN</t>
        </is>
      </c>
      <c r="G118" t="inlineStr">
        <is>
          <t>FORSHAGA</t>
        </is>
      </c>
      <c r="H118" t="inlineStr">
        <is>
          <t>Kyrkan</t>
        </is>
      </c>
      <c r="I118" t="n">
        <v>4.6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18285-2026</t>
        </is>
      </c>
      <c r="B119" t="inlineStr">
        <is>
          <t>avverkningsanmälan</t>
        </is>
      </c>
      <c r="C119" t="inlineStr">
        <is>
          <t>Föryngringsavverkning</t>
        </is>
      </c>
      <c r="D119" s="1" t="n">
        <v>46126</v>
      </c>
      <c r="E119" s="1" t="n">
        <v>46299</v>
      </c>
      <c r="F119" t="inlineStr">
        <is>
          <t>VÄRMLANDS LÄN</t>
        </is>
      </c>
      <c r="G119" t="inlineStr">
        <is>
          <t>FORSHAGA</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18916-2026</t>
        </is>
      </c>
      <c r="B120" t="inlineStr">
        <is>
          <t>avverkningsanmälan</t>
        </is>
      </c>
      <c r="C120" t="inlineStr">
        <is>
          <t>Föryngringsavverkning</t>
        </is>
      </c>
      <c r="D120" s="1" t="n">
        <v>46129</v>
      </c>
      <c r="E120" s="1" t="n">
        <v>46299</v>
      </c>
      <c r="F120" t="inlineStr">
        <is>
          <t>VÄRMLANDS LÄN</t>
        </is>
      </c>
      <c r="G120" t="inlineStr">
        <is>
          <t>FORSHAGA</t>
        </is>
      </c>
      <c r="H120" t="inlineStr">
        <is>
          <t>Bergvik skog väst AB</t>
        </is>
      </c>
      <c r="I120" t="n">
        <v>5.2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58688-2023</t>
        </is>
      </c>
      <c r="B121" t="inlineStr">
        <is>
          <t>avverkningsanmälan</t>
        </is>
      </c>
      <c r="C121" t="inlineStr">
        <is>
          <t>Föryngringsavverkning</t>
        </is>
      </c>
      <c r="D121" s="1" t="n">
        <v>45251</v>
      </c>
      <c r="E121" s="1" t="n">
        <v>46299</v>
      </c>
      <c r="F121" t="inlineStr">
        <is>
          <t>VÄRMLANDS LÄN</t>
        </is>
      </c>
      <c r="G121" t="inlineStr">
        <is>
          <t>FORSHAGA</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35855-2023</t>
        </is>
      </c>
      <c r="B122" t="inlineStr">
        <is>
          <t>avverkningsanmälan</t>
        </is>
      </c>
      <c r="C122" t="inlineStr">
        <is>
          <t>Föryngringsavverkning</t>
        </is>
      </c>
      <c r="D122" s="1" t="n">
        <v>45148</v>
      </c>
      <c r="E122" s="1" t="n">
        <v>46299</v>
      </c>
      <c r="F122" t="inlineStr">
        <is>
          <t>VÄRMLANDS LÄN</t>
        </is>
      </c>
      <c r="G122" t="inlineStr">
        <is>
          <t>FORSHAGA</t>
        </is>
      </c>
      <c r="H122" t="inlineStr">
        <is>
          <t>Kommuner</t>
        </is>
      </c>
      <c r="I122" t="n">
        <v>0.2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19079-2026</t>
        </is>
      </c>
      <c r="B123" t="inlineStr">
        <is>
          <t>avverkningsanmälan</t>
        </is>
      </c>
      <c r="C123" t="inlineStr">
        <is>
          <t>Föryngringsavverkning</t>
        </is>
      </c>
      <c r="D123" s="1" t="n">
        <v>46132</v>
      </c>
      <c r="E123" s="1" t="n">
        <v>46299</v>
      </c>
      <c r="F123" t="inlineStr">
        <is>
          <t>VÄRMLANDS LÄN</t>
        </is>
      </c>
      <c r="G123" t="inlineStr">
        <is>
          <t>FORSHAGA</t>
        </is>
      </c>
      <c r="I123" t="n">
        <v>10.1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32796-2023</t>
        </is>
      </c>
      <c r="B124" t="inlineStr">
        <is>
          <t>avverkningsanmälan</t>
        </is>
      </c>
      <c r="C124" t="inlineStr">
        <is>
          <t>Föryngringsavverkning</t>
        </is>
      </c>
      <c r="D124" s="1" t="n">
        <v>45124</v>
      </c>
      <c r="E124" s="1" t="n">
        <v>46299</v>
      </c>
      <c r="F124" t="inlineStr">
        <is>
          <t>VÄRMLANDS LÄN</t>
        </is>
      </c>
      <c r="G124" t="inlineStr">
        <is>
          <t>FORSHAGA</t>
        </is>
      </c>
      <c r="H124" t="inlineStr">
        <is>
          <t>Kommuner</t>
        </is>
      </c>
      <c r="I124" t="n">
        <v>5.7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32822-2023</t>
        </is>
      </c>
      <c r="B125" t="inlineStr">
        <is>
          <t>avverkningsanmälan</t>
        </is>
      </c>
      <c r="C125" t="inlineStr">
        <is>
          <t>Föryngringsavverkning</t>
        </is>
      </c>
      <c r="D125" s="1" t="n">
        <v>45124</v>
      </c>
      <c r="E125" s="1" t="n">
        <v>46299</v>
      </c>
      <c r="F125" t="inlineStr">
        <is>
          <t>VÄRMLANDS LÄN</t>
        </is>
      </c>
      <c r="G125" t="inlineStr">
        <is>
          <t>FORSHAGA</t>
        </is>
      </c>
      <c r="H125" t="inlineStr">
        <is>
          <t>Kommuner</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34849-2024</t>
        </is>
      </c>
      <c r="B126" t="inlineStr">
        <is>
          <t>avverkningsanmälan</t>
        </is>
      </c>
      <c r="C126" t="inlineStr">
        <is>
          <t>Avverkning för att bevara och utveckla /försöksver</t>
        </is>
      </c>
      <c r="D126" s="1" t="n">
        <v>45527</v>
      </c>
      <c r="E126" s="1" t="n">
        <v>46299</v>
      </c>
      <c r="F126" t="inlineStr">
        <is>
          <t>VÄRMLANDS LÄN</t>
        </is>
      </c>
      <c r="G126" t="inlineStr">
        <is>
          <t>FORSHAGA</t>
        </is>
      </c>
      <c r="H126" t="inlineStr">
        <is>
          <t>Bergvik skog väst AB</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19823-2026</t>
        </is>
      </c>
      <c r="B127" t="inlineStr">
        <is>
          <t>avverkningsanmälan</t>
        </is>
      </c>
      <c r="C127" t="inlineStr">
        <is>
          <t>Föryngringsavverkning</t>
        </is>
      </c>
      <c r="D127" s="1" t="n">
        <v>46135</v>
      </c>
      <c r="E127" s="1" t="n">
        <v>46299</v>
      </c>
      <c r="F127" t="inlineStr">
        <is>
          <t>VÄRMLANDS LÄN</t>
        </is>
      </c>
      <c r="G127" t="inlineStr">
        <is>
          <t>FORSHAGA</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31831-2025</t>
        </is>
      </c>
      <c r="B128" t="inlineStr">
        <is>
          <t>avverkningsanmälan</t>
        </is>
      </c>
      <c r="C128" t="inlineStr">
        <is>
          <t>Föryngringsavverkning</t>
        </is>
      </c>
      <c r="D128" s="1" t="n">
        <v>45834</v>
      </c>
      <c r="E128" s="1" t="n">
        <v>46299</v>
      </c>
      <c r="F128" t="inlineStr">
        <is>
          <t>VÄRMLANDS LÄN</t>
        </is>
      </c>
      <c r="G128" t="inlineStr">
        <is>
          <t>FORSHAGA</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34886-2024</t>
        </is>
      </c>
      <c r="B129" t="inlineStr">
        <is>
          <t>avverkningsanmälan</t>
        </is>
      </c>
      <c r="C129" t="inlineStr">
        <is>
          <t>Föryngringsavverkning</t>
        </is>
      </c>
      <c r="D129" s="1" t="n">
        <v>45527</v>
      </c>
      <c r="E129" s="1" t="n">
        <v>46299</v>
      </c>
      <c r="F129" t="inlineStr">
        <is>
          <t>VÄRMLANDS LÄN</t>
        </is>
      </c>
      <c r="G129" t="inlineStr">
        <is>
          <t>FORSHAGA</t>
        </is>
      </c>
      <c r="H129" t="inlineStr">
        <is>
          <t>Bergvik skog väst AB</t>
        </is>
      </c>
      <c r="I129" t="n">
        <v>6.3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31968-2025</t>
        </is>
      </c>
      <c r="B130" t="inlineStr">
        <is>
          <t>avverkningsanmälan</t>
        </is>
      </c>
      <c r="C130" t="inlineStr">
        <is>
          <t>Föryngringsavverkning</t>
        </is>
      </c>
      <c r="D130" s="1" t="n">
        <v>45835</v>
      </c>
      <c r="E130" s="1" t="n">
        <v>46299</v>
      </c>
      <c r="F130" t="inlineStr">
        <is>
          <t>VÄRMLANDS LÄN</t>
        </is>
      </c>
      <c r="G130" t="inlineStr">
        <is>
          <t>FORSHAGA</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58121-2024</t>
        </is>
      </c>
      <c r="B131" t="inlineStr">
        <is>
          <t>avverkningsanmälan</t>
        </is>
      </c>
      <c r="C131" t="inlineStr">
        <is>
          <t>Föryngringsavverkning</t>
        </is>
      </c>
      <c r="D131" s="1" t="n">
        <v>45632</v>
      </c>
      <c r="E131" s="1" t="n">
        <v>46299</v>
      </c>
      <c r="F131" t="inlineStr">
        <is>
          <t>VÄRMLANDS LÄN</t>
        </is>
      </c>
      <c r="G131" t="inlineStr">
        <is>
          <t>FORSHAGA</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53678-2025</t>
        </is>
      </c>
      <c r="B132" t="inlineStr">
        <is>
          <t>avverkningsanmälan</t>
        </is>
      </c>
      <c r="C132" t="inlineStr">
        <is>
          <t>Föryngringsavverkning</t>
        </is>
      </c>
      <c r="D132" s="1" t="n">
        <v>45960</v>
      </c>
      <c r="E132" s="1" t="n">
        <v>46299</v>
      </c>
      <c r="F132" t="inlineStr">
        <is>
          <t>VÄRMLANDS LÄN</t>
        </is>
      </c>
      <c r="G132" t="inlineStr">
        <is>
          <t>FORSHAGA</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18229-2025</t>
        </is>
      </c>
      <c r="B133" t="inlineStr">
        <is>
          <t>avverkningsanmälan</t>
        </is>
      </c>
      <c r="C133" t="inlineStr">
        <is>
          <t>Föryngringsavverkning</t>
        </is>
      </c>
      <c r="D133" s="1" t="n">
        <v>45761</v>
      </c>
      <c r="E133" s="1" t="n">
        <v>46299</v>
      </c>
      <c r="F133" t="inlineStr">
        <is>
          <t>VÄRMLANDS LÄN</t>
        </is>
      </c>
      <c r="G133" t="inlineStr">
        <is>
          <t>FORSHAGA</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54170-2022</t>
        </is>
      </c>
      <c r="B134" t="inlineStr">
        <is>
          <t>avverkningsanmälan</t>
        </is>
      </c>
      <c r="C134" t="inlineStr">
        <is>
          <t>Föryngringsavverkning</t>
        </is>
      </c>
      <c r="D134" s="1" t="n">
        <v>44881</v>
      </c>
      <c r="E134" s="1" t="n">
        <v>46299</v>
      </c>
      <c r="F134" t="inlineStr">
        <is>
          <t>VÄRMLANDS LÄN</t>
        </is>
      </c>
      <c r="G134" t="inlineStr">
        <is>
          <t>FORSHAGA</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29427-2024</t>
        </is>
      </c>
      <c r="B135" t="inlineStr">
        <is>
          <t>avverkningsanmälan</t>
        </is>
      </c>
      <c r="C135" t="inlineStr">
        <is>
          <t>Föryngringsavverkning</t>
        </is>
      </c>
      <c r="D135" s="1" t="n">
        <v>45483</v>
      </c>
      <c r="E135" s="1" t="n">
        <v>46299</v>
      </c>
      <c r="F135" t="inlineStr">
        <is>
          <t>VÄRMLANDS LÄN</t>
        </is>
      </c>
      <c r="G135" t="inlineStr">
        <is>
          <t>FORSHAGA</t>
        </is>
      </c>
      <c r="I135" t="n">
        <v>3.7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15563-2022</t>
        </is>
      </c>
      <c r="B136" t="inlineStr">
        <is>
          <t>avverkningsanmälan</t>
        </is>
      </c>
      <c r="C136" t="inlineStr">
        <is>
          <t>Föryngringsavverkning</t>
        </is>
      </c>
      <c r="D136" s="1" t="n">
        <v>44662</v>
      </c>
      <c r="E136" s="1" t="n">
        <v>46299</v>
      </c>
      <c r="F136" t="inlineStr">
        <is>
          <t>VÄRMLANDS LÄN</t>
        </is>
      </c>
      <c r="G136" t="inlineStr">
        <is>
          <t>FORSHAGA</t>
        </is>
      </c>
      <c r="I136" t="n">
        <v>3.7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11196-2024</t>
        </is>
      </c>
      <c r="B137" t="inlineStr">
        <is>
          <t>avverkningsanmälan</t>
        </is>
      </c>
      <c r="C137" t="inlineStr">
        <is>
          <t>Föryngringsavverkning</t>
        </is>
      </c>
      <c r="D137" s="1" t="n">
        <v>45371</v>
      </c>
      <c r="E137" s="1" t="n">
        <v>46299</v>
      </c>
      <c r="F137" t="inlineStr">
        <is>
          <t>VÄRMLANDS LÄN</t>
        </is>
      </c>
      <c r="G137" t="inlineStr">
        <is>
          <t>FORSHAGA</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46300-2022</t>
        </is>
      </c>
      <c r="B138" t="inlineStr">
        <is>
          <t>avverkningsanmälan</t>
        </is>
      </c>
      <c r="C138" t="inlineStr">
        <is>
          <t>Föryngringsavverkning</t>
        </is>
      </c>
      <c r="D138" s="1" t="n">
        <v>44847</v>
      </c>
      <c r="E138" s="1" t="n">
        <v>46299</v>
      </c>
      <c r="F138" t="inlineStr">
        <is>
          <t>VÄRMLANDS LÄN</t>
        </is>
      </c>
      <c r="G138" t="inlineStr">
        <is>
          <t>FORSHAGA</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56280-2023</t>
        </is>
      </c>
      <c r="B139" t="inlineStr">
        <is>
          <t>avverkningsanmälan</t>
        </is>
      </c>
      <c r="C139" t="inlineStr">
        <is>
          <t>Föryngringsavverkning</t>
        </is>
      </c>
      <c r="D139" s="1" t="n">
        <v>45241</v>
      </c>
      <c r="E139" s="1" t="n">
        <v>46299</v>
      </c>
      <c r="F139" t="inlineStr">
        <is>
          <t>VÄRMLANDS LÄN</t>
        </is>
      </c>
      <c r="G139" t="inlineStr">
        <is>
          <t>FORSHAGA</t>
        </is>
      </c>
      <c r="I139" t="n">
        <v>2.9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60850-2025</t>
        </is>
      </c>
      <c r="B140" t="inlineStr">
        <is>
          <t>avverkningsanmälan</t>
        </is>
      </c>
      <c r="C140" t="inlineStr">
        <is>
          <t>Föryngringsavverkning</t>
        </is>
      </c>
      <c r="D140" s="1" t="n">
        <v>45999</v>
      </c>
      <c r="E140" s="1" t="n">
        <v>46299</v>
      </c>
      <c r="F140" t="inlineStr">
        <is>
          <t>VÄRMLANDS LÄN</t>
        </is>
      </c>
      <c r="G140" t="inlineStr">
        <is>
          <t>FORSHAGA</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47734-2025</t>
        </is>
      </c>
      <c r="B141" t="inlineStr">
        <is>
          <t>avverkningsanmälan</t>
        </is>
      </c>
      <c r="C141" t="inlineStr">
        <is>
          <t>Föryngringsavverkning</t>
        </is>
      </c>
      <c r="D141" s="1" t="n">
        <v>45931</v>
      </c>
      <c r="E141" s="1" t="n">
        <v>46299</v>
      </c>
      <c r="F141" t="inlineStr">
        <is>
          <t>VÄRMLANDS LÄN</t>
        </is>
      </c>
      <c r="G141" t="inlineStr">
        <is>
          <t>FORSHAGA</t>
        </is>
      </c>
      <c r="H141" t="inlineStr">
        <is>
          <t>Kommuner</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10989-2025</t>
        </is>
      </c>
      <c r="B142" t="inlineStr">
        <is>
          <t>avverkningsanmälan</t>
        </is>
      </c>
      <c r="C142" t="inlineStr">
        <is>
          <t>Föryngringsavverkning</t>
        </is>
      </c>
      <c r="D142" s="1" t="n">
        <v>45723</v>
      </c>
      <c r="E142" s="1" t="n">
        <v>46299</v>
      </c>
      <c r="F142" t="inlineStr">
        <is>
          <t>VÄRMLANDS LÄN</t>
        </is>
      </c>
      <c r="G142" t="inlineStr">
        <is>
          <t>FORSHAGA</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65062-2023</t>
        </is>
      </c>
      <c r="B143" t="inlineStr">
        <is>
          <t>avverkningsanmälan</t>
        </is>
      </c>
      <c r="C143" t="inlineStr">
        <is>
          <t>Föryngringsavverkning</t>
        </is>
      </c>
      <c r="D143" s="1" t="n">
        <v>45287</v>
      </c>
      <c r="E143" s="1" t="n">
        <v>46299</v>
      </c>
      <c r="F143" t="inlineStr">
        <is>
          <t>VÄRMLANDS LÄN</t>
        </is>
      </c>
      <c r="G143" t="inlineStr">
        <is>
          <t>FORSHAGA</t>
        </is>
      </c>
      <c r="H143" t="inlineStr">
        <is>
          <t>Bergvik skog väst AB</t>
        </is>
      </c>
      <c r="I143" t="n">
        <v>11.3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58714-2021</t>
        </is>
      </c>
      <c r="B144" t="inlineStr">
        <is>
          <t>avverkningsanmälan</t>
        </is>
      </c>
      <c r="C144" t="inlineStr">
        <is>
          <t>Föryngringsavverkning</t>
        </is>
      </c>
      <c r="D144" s="1" t="n">
        <v>44489</v>
      </c>
      <c r="E144" s="1" t="n">
        <v>46299</v>
      </c>
      <c r="F144" t="inlineStr">
        <is>
          <t>VÄRMLANDS LÄN</t>
        </is>
      </c>
      <c r="G144" t="inlineStr">
        <is>
          <t>FORSHAGA</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67617-2021</t>
        </is>
      </c>
      <c r="B145" t="inlineStr">
        <is>
          <t>avverkningsanmälan</t>
        </is>
      </c>
      <c r="C145" t="inlineStr">
        <is>
          <t>Föryngringsavverkning</t>
        </is>
      </c>
      <c r="D145" s="1" t="n">
        <v>44524</v>
      </c>
      <c r="E145" s="1" t="n">
        <v>46299</v>
      </c>
      <c r="F145" t="inlineStr">
        <is>
          <t>VÄRMLANDS LÄN</t>
        </is>
      </c>
      <c r="G145" t="inlineStr">
        <is>
          <t>FORSHAGA</t>
        </is>
      </c>
      <c r="I145" t="n">
        <v>6.5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55835-2024</t>
        </is>
      </c>
      <c r="B146" t="inlineStr">
        <is>
          <t>avverkningsanmälan</t>
        </is>
      </c>
      <c r="C146" t="inlineStr">
        <is>
          <t>Föryngringsavverkning</t>
        </is>
      </c>
      <c r="D146" s="1" t="n">
        <v>45623</v>
      </c>
      <c r="E146" s="1" t="n">
        <v>46299</v>
      </c>
      <c r="F146" t="inlineStr">
        <is>
          <t>VÄRMLANDS LÄN</t>
        </is>
      </c>
      <c r="G146" t="inlineStr">
        <is>
          <t>FORSHAGA</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30859-2024</t>
        </is>
      </c>
      <c r="B147" t="inlineStr">
        <is>
          <t>avverkningsanmälan</t>
        </is>
      </c>
      <c r="C147" t="inlineStr">
        <is>
          <t>Föryngringsavverkning</t>
        </is>
      </c>
      <c r="D147" s="1" t="n">
        <v>45497</v>
      </c>
      <c r="E147" s="1" t="n">
        <v>46299</v>
      </c>
      <c r="F147" t="inlineStr">
        <is>
          <t>VÄRMLANDS LÄN</t>
        </is>
      </c>
      <c r="G147" t="inlineStr">
        <is>
          <t>FORSHAGA</t>
        </is>
      </c>
      <c r="I147" t="n">
        <v>3.8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35831-2023</t>
        </is>
      </c>
      <c r="B148" t="inlineStr">
        <is>
          <t>avverkningsanmälan</t>
        </is>
      </c>
      <c r="C148" t="inlineStr">
        <is>
          <t>Föryngringsavverkning</t>
        </is>
      </c>
      <c r="D148" s="1" t="n">
        <v>45148</v>
      </c>
      <c r="E148" s="1" t="n">
        <v>46299</v>
      </c>
      <c r="F148" t="inlineStr">
        <is>
          <t>VÄRMLANDS LÄN</t>
        </is>
      </c>
      <c r="G148" t="inlineStr">
        <is>
          <t>FORSHAGA</t>
        </is>
      </c>
      <c r="H148" t="inlineStr">
        <is>
          <t>Kommuner</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22582-2024</t>
        </is>
      </c>
      <c r="B149" t="inlineStr">
        <is>
          <t>avverkningsanmälan</t>
        </is>
      </c>
      <c r="C149" t="inlineStr">
        <is>
          <t>Avverkning för annat ändamål</t>
        </is>
      </c>
      <c r="D149" s="1" t="n">
        <v>45447</v>
      </c>
      <c r="E149" s="1" t="n">
        <v>46299</v>
      </c>
      <c r="F149" t="inlineStr">
        <is>
          <t>VÄRMLANDS LÄN</t>
        </is>
      </c>
      <c r="G149" t="inlineStr">
        <is>
          <t>FORSHAGA</t>
        </is>
      </c>
      <c r="H149" t="inlineStr">
        <is>
          <t>Bergvik skog väst AB</t>
        </is>
      </c>
      <c r="I149" t="n">
        <v>4.9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7297-2023</t>
        </is>
      </c>
      <c r="B150" t="inlineStr">
        <is>
          <t>avverkningsanmälan</t>
        </is>
      </c>
      <c r="C150" t="inlineStr">
        <is>
          <t>Föryngringsavverkning</t>
        </is>
      </c>
      <c r="D150" s="1" t="n">
        <v>44970</v>
      </c>
      <c r="E150" s="1" t="n">
        <v>46299</v>
      </c>
      <c r="F150" t="inlineStr">
        <is>
          <t>VÄRMLANDS LÄN</t>
        </is>
      </c>
      <c r="G150" t="inlineStr">
        <is>
          <t>FORSHAGA</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15663-2024</t>
        </is>
      </c>
      <c r="B151" t="inlineStr">
        <is>
          <t>avverkningsanmälan</t>
        </is>
      </c>
      <c r="C151" t="inlineStr">
        <is>
          <t>Avverkning för annat ändamål</t>
        </is>
      </c>
      <c r="D151" s="1" t="n">
        <v>45404</v>
      </c>
      <c r="E151" s="1" t="n">
        <v>46299</v>
      </c>
      <c r="F151" t="inlineStr">
        <is>
          <t>VÄRMLANDS LÄN</t>
        </is>
      </c>
      <c r="G151" t="inlineStr">
        <is>
          <t>FORSHAGA</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21106-2026</t>
        </is>
      </c>
      <c r="B152" t="inlineStr">
        <is>
          <t>avverkningsanmälan</t>
        </is>
      </c>
      <c r="C152" t="inlineStr">
        <is>
          <t>Föryngringsavverkning</t>
        </is>
      </c>
      <c r="D152" s="1" t="n">
        <v>46146</v>
      </c>
      <c r="E152" s="1" t="n">
        <v>46299</v>
      </c>
      <c r="F152" t="inlineStr">
        <is>
          <t>VÄRMLANDS LÄN</t>
        </is>
      </c>
      <c r="G152" t="inlineStr">
        <is>
          <t>FORSHAGA</t>
        </is>
      </c>
      <c r="H152" t="inlineStr">
        <is>
          <t>Bergvik skog väst AB</t>
        </is>
      </c>
      <c r="I152" t="n">
        <v>8.1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21081-2026</t>
        </is>
      </c>
      <c r="B153" t="inlineStr">
        <is>
          <t>avverkningsanmälan</t>
        </is>
      </c>
      <c r="C153" t="inlineStr">
        <is>
          <t>Föryngringsavverkning</t>
        </is>
      </c>
      <c r="D153" s="1" t="n">
        <v>46146</v>
      </c>
      <c r="E153" s="1" t="n">
        <v>46299</v>
      </c>
      <c r="F153" t="inlineStr">
        <is>
          <t>VÄRMLANDS LÄN</t>
        </is>
      </c>
      <c r="G153" t="inlineStr">
        <is>
          <t>FORSHAGA</t>
        </is>
      </c>
      <c r="H153" t="inlineStr">
        <is>
          <t>Bergvik skog väst AB</t>
        </is>
      </c>
      <c r="I153" t="n">
        <v>14.8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21137-2026</t>
        </is>
      </c>
      <c r="B154" t="inlineStr">
        <is>
          <t>avverkningsanmälan</t>
        </is>
      </c>
      <c r="C154" t="inlineStr">
        <is>
          <t>Föryngringsavverkning</t>
        </is>
      </c>
      <c r="D154" s="1" t="n">
        <v>46146</v>
      </c>
      <c r="E154" s="1" t="n">
        <v>46299</v>
      </c>
      <c r="F154" t="inlineStr">
        <is>
          <t>VÄRMLANDS LÄN</t>
        </is>
      </c>
      <c r="G154" t="inlineStr">
        <is>
          <t>FORSHAGA</t>
        </is>
      </c>
      <c r="I154" t="n">
        <v>3.4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1409-2025</t>
        </is>
      </c>
      <c r="B155" t="inlineStr">
        <is>
          <t>avverkningsanmälan</t>
        </is>
      </c>
      <c r="C155" t="inlineStr">
        <is>
          <t>Föryngringsavverkning</t>
        </is>
      </c>
      <c r="D155" s="1" t="n">
        <v>45667</v>
      </c>
      <c r="E155" s="1" t="n">
        <v>46299</v>
      </c>
      <c r="F155" t="inlineStr">
        <is>
          <t>VÄRMLANDS LÄN</t>
        </is>
      </c>
      <c r="G155" t="inlineStr">
        <is>
          <t>FORSHAGA</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60893-2025</t>
        </is>
      </c>
      <c r="B156" t="inlineStr">
        <is>
          <t>avverkningsanmälan</t>
        </is>
      </c>
      <c r="C156" t="inlineStr">
        <is>
          <t>Föryngringsavverkning</t>
        </is>
      </c>
      <c r="D156" s="1" t="n">
        <v>45999</v>
      </c>
      <c r="E156" s="1" t="n">
        <v>46299</v>
      </c>
      <c r="F156" t="inlineStr">
        <is>
          <t>VÄRMLANDS LÄN</t>
        </is>
      </c>
      <c r="G156" t="inlineStr">
        <is>
          <t>FORSHAGA</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21146-2026</t>
        </is>
      </c>
      <c r="B157" t="inlineStr">
        <is>
          <t>avverkningsanmälan</t>
        </is>
      </c>
      <c r="C157" t="inlineStr">
        <is>
          <t>Föryngringsavverkning</t>
        </is>
      </c>
      <c r="D157" s="1" t="n">
        <v>46146</v>
      </c>
      <c r="E157" s="1" t="n">
        <v>46299</v>
      </c>
      <c r="F157" t="inlineStr">
        <is>
          <t>VÄRMLANDS LÄN</t>
        </is>
      </c>
      <c r="G157" t="inlineStr">
        <is>
          <t>FORSHAGA</t>
        </is>
      </c>
      <c r="I157" t="n">
        <v>2.4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21634-2026</t>
        </is>
      </c>
      <c r="B158" t="inlineStr">
        <is>
          <t>avverkningsanmälan</t>
        </is>
      </c>
      <c r="C158" t="inlineStr">
        <is>
          <t>Föryngringsavverkning</t>
        </is>
      </c>
      <c r="D158" s="1" t="n">
        <v>46149</v>
      </c>
      <c r="E158" s="1" t="n">
        <v>46299</v>
      </c>
      <c r="F158" t="inlineStr">
        <is>
          <t>VÄRMLANDS LÄN</t>
        </is>
      </c>
      <c r="G158" t="inlineStr">
        <is>
          <t>FORSHAGA</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22192-2026</t>
        </is>
      </c>
      <c r="B159" t="inlineStr">
        <is>
          <t>avverkningsanmälan</t>
        </is>
      </c>
      <c r="C159" t="inlineStr">
        <is>
          <t>Föryngringsavverkning</t>
        </is>
      </c>
      <c r="D159" s="1" t="n">
        <v>46153</v>
      </c>
      <c r="E159" s="1" t="n">
        <v>46299</v>
      </c>
      <c r="F159" t="inlineStr">
        <is>
          <t>VÄRMLANDS LÄN</t>
        </is>
      </c>
      <c r="G159" t="inlineStr">
        <is>
          <t>FORSHAGA</t>
        </is>
      </c>
      <c r="I159" t="n">
        <v>7.5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22222-2026</t>
        </is>
      </c>
      <c r="B160" t="inlineStr">
        <is>
          <t>avverkningsanmälan</t>
        </is>
      </c>
      <c r="C160" t="inlineStr">
        <is>
          <t>Föryngringsavverkning</t>
        </is>
      </c>
      <c r="D160" s="1" t="n">
        <v>46153</v>
      </c>
      <c r="E160" s="1" t="n">
        <v>46299</v>
      </c>
      <c r="F160" t="inlineStr">
        <is>
          <t>VÄRMLANDS LÄN</t>
        </is>
      </c>
      <c r="G160" t="inlineStr">
        <is>
          <t>FORSHAGA</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22221-2026</t>
        </is>
      </c>
      <c r="B161" t="inlineStr">
        <is>
          <t>avverkningsanmälan</t>
        </is>
      </c>
      <c r="C161" t="inlineStr">
        <is>
          <t>Föryngringsavverkning</t>
        </is>
      </c>
      <c r="D161" s="1" t="n">
        <v>46153</v>
      </c>
      <c r="E161" s="1" t="n">
        <v>46299</v>
      </c>
      <c r="F161" t="inlineStr">
        <is>
          <t>VÄRMLANDS LÄN</t>
        </is>
      </c>
      <c r="G161" t="inlineStr">
        <is>
          <t>FORSHAGA</t>
        </is>
      </c>
      <c r="I161" t="n">
        <v>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63318-2023</t>
        </is>
      </c>
      <c r="B162" t="inlineStr">
        <is>
          <t>avverkningsanmälan</t>
        </is>
      </c>
      <c r="C162" t="inlineStr">
        <is>
          <t>Föryngringsavverkning</t>
        </is>
      </c>
      <c r="D162" s="1" t="n">
        <v>45274</v>
      </c>
      <c r="E162" s="1" t="n">
        <v>46299</v>
      </c>
      <c r="F162" t="inlineStr">
        <is>
          <t>VÄRMLANDS LÄN</t>
        </is>
      </c>
      <c r="G162" t="inlineStr">
        <is>
          <t>FORSHAGA</t>
        </is>
      </c>
      <c r="I162" t="n">
        <v>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19996-2022</t>
        </is>
      </c>
      <c r="B163" t="inlineStr">
        <is>
          <t>avverkningsanmälan</t>
        </is>
      </c>
      <c r="C163" t="inlineStr">
        <is>
          <t>Föryngringsavverkning</t>
        </is>
      </c>
      <c r="D163" s="1" t="n">
        <v>44697</v>
      </c>
      <c r="E163" s="1" t="n">
        <v>46299</v>
      </c>
      <c r="F163" t="inlineStr">
        <is>
          <t>VÄRMLANDS LÄN</t>
        </is>
      </c>
      <c r="G163" t="inlineStr">
        <is>
          <t>FORSHAGA</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21836-2025</t>
        </is>
      </c>
      <c r="B164" t="inlineStr">
        <is>
          <t>avverkningsanmälan</t>
        </is>
      </c>
      <c r="C164" t="inlineStr">
        <is>
          <t>Föryngringsavverkning</t>
        </is>
      </c>
      <c r="D164" s="1" t="n">
        <v>45784</v>
      </c>
      <c r="E164" s="1" t="n">
        <v>46299</v>
      </c>
      <c r="F164" t="inlineStr">
        <is>
          <t>VÄRMLANDS LÄN</t>
        </is>
      </c>
      <c r="G164" t="inlineStr">
        <is>
          <t>FORSHAGA</t>
        </is>
      </c>
      <c r="I164" t="n">
        <v>4.2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60045-2022</t>
        </is>
      </c>
      <c r="B165" t="inlineStr">
        <is>
          <t>avverkningsanmälan</t>
        </is>
      </c>
      <c r="C165" t="inlineStr">
        <is>
          <t>Föryngringsavverkning</t>
        </is>
      </c>
      <c r="D165" s="1" t="n">
        <v>44902</v>
      </c>
      <c r="E165" s="1" t="n">
        <v>46299</v>
      </c>
      <c r="F165" t="inlineStr">
        <is>
          <t>VÄRMLANDS LÄN</t>
        </is>
      </c>
      <c r="G165" t="inlineStr">
        <is>
          <t>FORSHAGA</t>
        </is>
      </c>
      <c r="I165" t="n">
        <v>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10383-2023</t>
        </is>
      </c>
      <c r="B166" t="inlineStr">
        <is>
          <t>avverkningsanmälan</t>
        </is>
      </c>
      <c r="C166" t="inlineStr">
        <is>
          <t>Föryngringsavverkning</t>
        </is>
      </c>
      <c r="D166" s="1" t="n">
        <v>44987</v>
      </c>
      <c r="E166" s="1" t="n">
        <v>46299</v>
      </c>
      <c r="F166" t="inlineStr">
        <is>
          <t>VÄRMLANDS LÄN</t>
        </is>
      </c>
      <c r="G166" t="inlineStr">
        <is>
          <t>FORSHAGA</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23505-2026</t>
        </is>
      </c>
      <c r="B167" t="inlineStr">
        <is>
          <t>avverkningsanmälan</t>
        </is>
      </c>
      <c r="C167" t="inlineStr">
        <is>
          <t>Föryngringsavverkning</t>
        </is>
      </c>
      <c r="D167" s="1" t="n">
        <v>46163</v>
      </c>
      <c r="E167" s="1" t="n">
        <v>46299</v>
      </c>
      <c r="F167" t="inlineStr">
        <is>
          <t>VÄRMLANDS LÄN</t>
        </is>
      </c>
      <c r="G167" t="inlineStr">
        <is>
          <t>FORSHAGA</t>
        </is>
      </c>
      <c r="H167" t="inlineStr">
        <is>
          <t>Kyrkan</t>
        </is>
      </c>
      <c r="I167" t="n">
        <v>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23516-2026</t>
        </is>
      </c>
      <c r="B168" t="inlineStr">
        <is>
          <t>avverkningsanmälan</t>
        </is>
      </c>
      <c r="C168" t="inlineStr">
        <is>
          <t>Föryngringsavverkning</t>
        </is>
      </c>
      <c r="D168" s="1" t="n">
        <v>46163</v>
      </c>
      <c r="E168" s="1" t="n">
        <v>46299</v>
      </c>
      <c r="F168" t="inlineStr">
        <is>
          <t>VÄRMLANDS LÄN</t>
        </is>
      </c>
      <c r="G168" t="inlineStr">
        <is>
          <t>FORSHAGA</t>
        </is>
      </c>
      <c r="H168" t="inlineStr">
        <is>
          <t>Kyrkan</t>
        </is>
      </c>
      <c r="I168" t="n">
        <v>3.7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17135-2025</t>
        </is>
      </c>
      <c r="B169" t="inlineStr">
        <is>
          <t>avverkningsanmälan</t>
        </is>
      </c>
      <c r="C169" t="inlineStr">
        <is>
          <t>Föryngringsavverkning</t>
        </is>
      </c>
      <c r="D169" s="1" t="n">
        <v>45755</v>
      </c>
      <c r="E169" s="1" t="n">
        <v>46299</v>
      </c>
      <c r="F169" t="inlineStr">
        <is>
          <t>VÄRMLANDS LÄN</t>
        </is>
      </c>
      <c r="G169" t="inlineStr">
        <is>
          <t>FORSHAGA</t>
        </is>
      </c>
      <c r="I169" t="n">
        <v>10.3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29852-2022</t>
        </is>
      </c>
      <c r="B170" t="inlineStr">
        <is>
          <t>avverkningsanmälan</t>
        </is>
      </c>
      <c r="C170" t="inlineStr">
        <is>
          <t>Föryngringsavverkning</t>
        </is>
      </c>
      <c r="D170" s="1" t="n">
        <v>44756</v>
      </c>
      <c r="E170" s="1" t="n">
        <v>46299</v>
      </c>
      <c r="F170" t="inlineStr">
        <is>
          <t>VÄRMLANDS LÄN</t>
        </is>
      </c>
      <c r="G170" t="inlineStr">
        <is>
          <t>FORSHAGA</t>
        </is>
      </c>
      <c r="I170" t="n">
        <v>5.9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70214-2021</t>
        </is>
      </c>
      <c r="B171" t="inlineStr">
        <is>
          <t>avverkningsanmälan</t>
        </is>
      </c>
      <c r="C171" t="inlineStr">
        <is>
          <t>Föryngringsavverkning</t>
        </is>
      </c>
      <c r="D171" s="1" t="n">
        <v>44535</v>
      </c>
      <c r="E171" s="1" t="n">
        <v>46299</v>
      </c>
      <c r="F171" t="inlineStr">
        <is>
          <t>VÄRMLANDS LÄN</t>
        </is>
      </c>
      <c r="G171" t="inlineStr">
        <is>
          <t>FORSHAGA</t>
        </is>
      </c>
      <c r="I171" t="n">
        <v>5.3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56748-2022</t>
        </is>
      </c>
      <c r="B172" t="inlineStr">
        <is>
          <t>avverkningsanmälan</t>
        </is>
      </c>
      <c r="C172" t="inlineStr">
        <is>
          <t>Föryngringsavverkning</t>
        </is>
      </c>
      <c r="D172" s="1" t="n">
        <v>44894</v>
      </c>
      <c r="E172" s="1" t="n">
        <v>46299</v>
      </c>
      <c r="F172" t="inlineStr">
        <is>
          <t>VÄRMLANDS LÄN</t>
        </is>
      </c>
      <c r="G172" t="inlineStr">
        <is>
          <t>FORSHAGA</t>
        </is>
      </c>
      <c r="H172" t="inlineStr">
        <is>
          <t>Bergvik skog väst AB</t>
        </is>
      </c>
      <c r="I172" t="n">
        <v>8.199999999999999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28242-2024</t>
        </is>
      </c>
      <c r="B173" t="inlineStr">
        <is>
          <t>avverkningsanmälan</t>
        </is>
      </c>
      <c r="C173" t="inlineStr">
        <is>
          <t>Föryngringsavverkning</t>
        </is>
      </c>
      <c r="D173" s="1" t="n">
        <v>45477</v>
      </c>
      <c r="E173" s="1" t="n">
        <v>46299</v>
      </c>
      <c r="F173" t="inlineStr">
        <is>
          <t>VÄRMLANDS LÄN</t>
        </is>
      </c>
      <c r="G173" t="inlineStr">
        <is>
          <t>FORSHAGA</t>
        </is>
      </c>
      <c r="I173" t="n">
        <v>2.9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55137-2023</t>
        </is>
      </c>
      <c r="B174" t="inlineStr">
        <is>
          <t>avverkningsanmälan</t>
        </is>
      </c>
      <c r="C174" t="inlineStr">
        <is>
          <t>Föryngringsavverkning</t>
        </is>
      </c>
      <c r="D174" s="1" t="n">
        <v>45237</v>
      </c>
      <c r="E174" s="1" t="n">
        <v>46299</v>
      </c>
      <c r="F174" t="inlineStr">
        <is>
          <t>VÄRMLANDS LÄN</t>
        </is>
      </c>
      <c r="G174" t="inlineStr">
        <is>
          <t>FORSHAGA</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73264-2021</t>
        </is>
      </c>
      <c r="B175" t="inlineStr">
        <is>
          <t>avverkningsanmälan</t>
        </is>
      </c>
      <c r="C175" t="inlineStr">
        <is>
          <t>Föryngringsavverkning</t>
        </is>
      </c>
      <c r="D175" s="1" t="n">
        <v>44550</v>
      </c>
      <c r="E175" s="1" t="n">
        <v>46299</v>
      </c>
      <c r="F175" t="inlineStr">
        <is>
          <t>VÄRMLANDS LÄN</t>
        </is>
      </c>
      <c r="G175" t="inlineStr">
        <is>
          <t>FORSHAGA</t>
        </is>
      </c>
      <c r="I175" t="n">
        <v>7.9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73266-2021</t>
        </is>
      </c>
      <c r="B176" t="inlineStr">
        <is>
          <t>avverkningsanmälan</t>
        </is>
      </c>
      <c r="C176" t="inlineStr">
        <is>
          <t>Föryngringsavverkning</t>
        </is>
      </c>
      <c r="D176" s="1" t="n">
        <v>44550</v>
      </c>
      <c r="E176" s="1" t="n">
        <v>46299</v>
      </c>
      <c r="F176" t="inlineStr">
        <is>
          <t>VÄRMLANDS LÄN</t>
        </is>
      </c>
      <c r="G176" t="inlineStr">
        <is>
          <t>FORSHAGA</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7299-2023</t>
        </is>
      </c>
      <c r="B177" t="inlineStr">
        <is>
          <t>avverkningsanmälan</t>
        </is>
      </c>
      <c r="C177" t="inlineStr">
        <is>
          <t>Föryngringsavverkning</t>
        </is>
      </c>
      <c r="D177" s="1" t="n">
        <v>44970</v>
      </c>
      <c r="E177" s="1" t="n">
        <v>46299</v>
      </c>
      <c r="F177" t="inlineStr">
        <is>
          <t>VÄRMLANDS LÄN</t>
        </is>
      </c>
      <c r="G177" t="inlineStr">
        <is>
          <t>FORSHAGA</t>
        </is>
      </c>
      <c r="I177" t="n">
        <v>0.3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26325-2026</t>
        </is>
      </c>
      <c r="B178" t="inlineStr">
        <is>
          <t>avverkningsanmälan</t>
        </is>
      </c>
      <c r="C178" t="inlineStr">
        <is>
          <t>Föryngringsavverkning</t>
        </is>
      </c>
      <c r="D178" s="1" t="n">
        <v>46182</v>
      </c>
      <c r="E178" s="1" t="n">
        <v>46299</v>
      </c>
      <c r="F178" t="inlineStr">
        <is>
          <t>VÄRMLANDS LÄN</t>
        </is>
      </c>
      <c r="G178" t="inlineStr">
        <is>
          <t>FORSHAGA</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26104-2026</t>
        </is>
      </c>
      <c r="B179" t="inlineStr">
        <is>
          <t>avverkningsanmälan</t>
        </is>
      </c>
      <c r="C179" t="inlineStr">
        <is>
          <t>Föryngringsavverkning</t>
        </is>
      </c>
      <c r="D179" s="1" t="n">
        <v>46181</v>
      </c>
      <c r="E179" s="1" t="n">
        <v>46299</v>
      </c>
      <c r="F179" t="inlineStr">
        <is>
          <t>VÄRMLANDS LÄN</t>
        </is>
      </c>
      <c r="G179" t="inlineStr">
        <is>
          <t>FORSHAGA</t>
        </is>
      </c>
      <c r="I179" t="n">
        <v>4.6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26129-2026</t>
        </is>
      </c>
      <c r="B180" t="inlineStr">
        <is>
          <t>avverkningsanmälan</t>
        </is>
      </c>
      <c r="C180" t="inlineStr">
        <is>
          <t>Föryngringsavverkning</t>
        </is>
      </c>
      <c r="D180" s="1" t="n">
        <v>46181</v>
      </c>
      <c r="E180" s="1" t="n">
        <v>46299</v>
      </c>
      <c r="F180" t="inlineStr">
        <is>
          <t>VÄRMLANDS LÄN</t>
        </is>
      </c>
      <c r="G180" t="inlineStr">
        <is>
          <t>FORSHAGA</t>
        </is>
      </c>
      <c r="I180" t="n">
        <v>2.3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27075-2026</t>
        </is>
      </c>
      <c r="B181" t="inlineStr">
        <is>
          <t>avverkningsanmälan</t>
        </is>
      </c>
      <c r="C181" t="inlineStr">
        <is>
          <t>Föryngringsavverkning</t>
        </is>
      </c>
      <c r="D181" s="1" t="n">
        <v>46186</v>
      </c>
      <c r="E181" s="1" t="n">
        <v>46299</v>
      </c>
      <c r="F181" t="inlineStr">
        <is>
          <t>VÄRMLANDS LÄN</t>
        </is>
      </c>
      <c r="G181" t="inlineStr">
        <is>
          <t>FORSHAGA</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27080-2026</t>
        </is>
      </c>
      <c r="B182" t="inlineStr">
        <is>
          <t>avverkningsanmälan</t>
        </is>
      </c>
      <c r="C182" t="inlineStr">
        <is>
          <t>Föryngringsavverkning</t>
        </is>
      </c>
      <c r="D182" s="1" t="n">
        <v>46186</v>
      </c>
      <c r="E182" s="1" t="n">
        <v>46299</v>
      </c>
      <c r="F182" t="inlineStr">
        <is>
          <t>VÄRMLANDS LÄN</t>
        </is>
      </c>
      <c r="G182" t="inlineStr">
        <is>
          <t>FORSHAGA</t>
        </is>
      </c>
      <c r="I182" t="n">
        <v>5.4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27076-2026</t>
        </is>
      </c>
      <c r="B183" t="inlineStr">
        <is>
          <t>avverkningsanmälan</t>
        </is>
      </c>
      <c r="C183" t="inlineStr">
        <is>
          <t>Föryngringsavverkning</t>
        </is>
      </c>
      <c r="D183" s="1" t="n">
        <v>46186</v>
      </c>
      <c r="E183" s="1" t="n">
        <v>46299</v>
      </c>
      <c r="F183" t="inlineStr">
        <is>
          <t>VÄRMLANDS LÄN</t>
        </is>
      </c>
      <c r="G183" t="inlineStr">
        <is>
          <t>FORSHAGA</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27252-2026</t>
        </is>
      </c>
      <c r="B184" t="inlineStr">
        <is>
          <t>avverkningsanmälan</t>
        </is>
      </c>
      <c r="C184" t="inlineStr">
        <is>
          <t>Föryngringsavverkning</t>
        </is>
      </c>
      <c r="D184" s="1" t="n">
        <v>46188</v>
      </c>
      <c r="E184" s="1" t="n">
        <v>46299</v>
      </c>
      <c r="F184" t="inlineStr">
        <is>
          <t>VÄRMLANDS LÄN</t>
        </is>
      </c>
      <c r="G184" t="inlineStr">
        <is>
          <t>FORSHAGA</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28517-2024</t>
        </is>
      </c>
      <c r="B185" t="inlineStr">
        <is>
          <t>avverkningsanmälan</t>
        </is>
      </c>
      <c r="C185" t="inlineStr">
        <is>
          <t>Föryngringsavverkning</t>
        </is>
      </c>
      <c r="D185" s="1" t="n">
        <v>45478</v>
      </c>
      <c r="E185" s="1" t="n">
        <v>46299</v>
      </c>
      <c r="F185" t="inlineStr">
        <is>
          <t>VÄRMLANDS LÄN</t>
        </is>
      </c>
      <c r="G185" t="inlineStr">
        <is>
          <t>FORSHAGA</t>
        </is>
      </c>
      <c r="H185" t="inlineStr">
        <is>
          <t>Bergvik skog väst AB</t>
        </is>
      </c>
      <c r="I185" t="n">
        <v>4.6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14988-2024</t>
        </is>
      </c>
      <c r="B186" t="inlineStr">
        <is>
          <t>avverkningsanmälan</t>
        </is>
      </c>
      <c r="C186" t="inlineStr">
        <is>
          <t>Föryngringsavverkning</t>
        </is>
      </c>
      <c r="D186" s="1" t="n">
        <v>45399</v>
      </c>
      <c r="E186" s="1" t="n">
        <v>46299</v>
      </c>
      <c r="F186" t="inlineStr">
        <is>
          <t>VÄRMLANDS LÄN</t>
        </is>
      </c>
      <c r="G186" t="inlineStr">
        <is>
          <t>FORSHAGA</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48630-2024</t>
        </is>
      </c>
      <c r="B187" t="inlineStr">
        <is>
          <t>avverkningsanmälan</t>
        </is>
      </c>
      <c r="C187" t="inlineStr">
        <is>
          <t>Föryngringsavverkning</t>
        </is>
      </c>
      <c r="D187" s="1" t="n">
        <v>45593</v>
      </c>
      <c r="E187" s="1" t="n">
        <v>46299</v>
      </c>
      <c r="F187" t="inlineStr">
        <is>
          <t>VÄRMLANDS LÄN</t>
        </is>
      </c>
      <c r="G187" t="inlineStr">
        <is>
          <t>FORSHAGA</t>
        </is>
      </c>
      <c r="I187" t="n">
        <v>7.5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62922-2023</t>
        </is>
      </c>
      <c r="B188" t="inlineStr">
        <is>
          <t>avverkningsanmälan</t>
        </is>
      </c>
      <c r="C188" t="inlineStr">
        <is>
          <t>Föryngringsavverkning</t>
        </is>
      </c>
      <c r="D188" s="1" t="n">
        <v>45272</v>
      </c>
      <c r="E188" s="1" t="n">
        <v>46299</v>
      </c>
      <c r="F188" t="inlineStr">
        <is>
          <t>VÄRMLANDS LÄN</t>
        </is>
      </c>
      <c r="G188" t="inlineStr">
        <is>
          <t>FORSHAGA</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23020-2022</t>
        </is>
      </c>
      <c r="B189" t="inlineStr">
        <is>
          <t>avverkningsanmälan</t>
        </is>
      </c>
      <c r="C189" t="inlineStr">
        <is>
          <t>Föryngringsavverkning</t>
        </is>
      </c>
      <c r="D189" s="1" t="n">
        <v>44719</v>
      </c>
      <c r="E189" s="1" t="n">
        <v>46299</v>
      </c>
      <c r="F189" t="inlineStr">
        <is>
          <t>VÄRMLANDS LÄN</t>
        </is>
      </c>
      <c r="G189" t="inlineStr">
        <is>
          <t>FORSHAGA</t>
        </is>
      </c>
      <c r="I189" t="n">
        <v>4.3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53074-2022</t>
        </is>
      </c>
      <c r="B190" t="inlineStr">
        <is>
          <t>avverkningsanmälan</t>
        </is>
      </c>
      <c r="C190" t="inlineStr">
        <is>
          <t>Föryngringsavverkning</t>
        </is>
      </c>
      <c r="D190" s="1" t="n">
        <v>44876</v>
      </c>
      <c r="E190" s="1" t="n">
        <v>46299</v>
      </c>
      <c r="F190" t="inlineStr">
        <is>
          <t>VÄRMLANDS LÄN</t>
        </is>
      </c>
      <c r="G190" t="inlineStr">
        <is>
          <t>FORSHAGA</t>
        </is>
      </c>
      <c r="I190" t="n">
        <v>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35850-2023</t>
        </is>
      </c>
      <c r="B191" t="inlineStr">
        <is>
          <t>avverkningsanmälan</t>
        </is>
      </c>
      <c r="C191" t="inlineStr">
        <is>
          <t>Föryngringsavverkning</t>
        </is>
      </c>
      <c r="D191" s="1" t="n">
        <v>45148</v>
      </c>
      <c r="E191" s="1" t="n">
        <v>46299</v>
      </c>
      <c r="F191" t="inlineStr">
        <is>
          <t>VÄRMLANDS LÄN</t>
        </is>
      </c>
      <c r="G191" t="inlineStr">
        <is>
          <t>FORSHAGA</t>
        </is>
      </c>
      <c r="H191" t="inlineStr">
        <is>
          <t>Kommuner</t>
        </is>
      </c>
      <c r="I191" t="n">
        <v>0.3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2278-2022</t>
        </is>
      </c>
      <c r="B192" t="inlineStr">
        <is>
          <t>avverkningsanmälan</t>
        </is>
      </c>
      <c r="C192" t="inlineStr">
        <is>
          <t>Föryngringsavverkning</t>
        </is>
      </c>
      <c r="D192" s="1" t="n">
        <v>44578</v>
      </c>
      <c r="E192" s="1" t="n">
        <v>46299</v>
      </c>
      <c r="F192" t="inlineStr">
        <is>
          <t>VÄRMLANDS LÄN</t>
        </is>
      </c>
      <c r="G192" t="inlineStr">
        <is>
          <t>FORSHAGA</t>
        </is>
      </c>
      <c r="H192" t="inlineStr">
        <is>
          <t>Bergvik skog väst AB</t>
        </is>
      </c>
      <c r="I192" t="n">
        <v>3.2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32680-2023</t>
        </is>
      </c>
      <c r="B193" t="inlineStr">
        <is>
          <t>avverkningsanmälan</t>
        </is>
      </c>
      <c r="C193" t="inlineStr">
        <is>
          <t>Föryngringsavverkning</t>
        </is>
      </c>
      <c r="D193" s="1" t="n">
        <v>45121</v>
      </c>
      <c r="E193" s="1" t="n">
        <v>46299</v>
      </c>
      <c r="F193" t="inlineStr">
        <is>
          <t>VÄRMLANDS LÄN</t>
        </is>
      </c>
      <c r="G193" t="inlineStr">
        <is>
          <t>FORSHAGA</t>
        </is>
      </c>
      <c r="H193" t="inlineStr">
        <is>
          <t>Kommuner</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29116-2026</t>
        </is>
      </c>
      <c r="B194" t="inlineStr">
        <is>
          <t>avverkningsanmälan</t>
        </is>
      </c>
      <c r="C194" t="inlineStr">
        <is>
          <t>Föryngringsavverkning</t>
        </is>
      </c>
      <c r="D194" s="1" t="n">
        <v>46201</v>
      </c>
      <c r="E194" s="1" t="n">
        <v>46299</v>
      </c>
      <c r="F194" t="inlineStr">
        <is>
          <t>VÄRMLANDS LÄN</t>
        </is>
      </c>
      <c r="G194" t="inlineStr">
        <is>
          <t>FORSHAGA</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29265-2026</t>
        </is>
      </c>
      <c r="B195" t="inlineStr">
        <is>
          <t>avverkningsanmälan</t>
        </is>
      </c>
      <c r="C195" t="inlineStr">
        <is>
          <t>Föryngringsavverkning</t>
        </is>
      </c>
      <c r="D195" s="1" t="n">
        <v>46202</v>
      </c>
      <c r="E195" s="1" t="n">
        <v>46299</v>
      </c>
      <c r="F195" t="inlineStr">
        <is>
          <t>VÄRMLANDS LÄN</t>
        </is>
      </c>
      <c r="G195" t="inlineStr">
        <is>
          <t>FORSHAGA</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61457-2022</t>
        </is>
      </c>
      <c r="B196" t="inlineStr">
        <is>
          <t>avverkningsanmälan</t>
        </is>
      </c>
      <c r="C196" t="inlineStr">
        <is>
          <t>Föryngringsavverkning</t>
        </is>
      </c>
      <c r="D196" s="1" t="n">
        <v>44916</v>
      </c>
      <c r="E196" s="1" t="n">
        <v>46299</v>
      </c>
      <c r="F196" t="inlineStr">
        <is>
          <t>VÄRMLANDS LÄN</t>
        </is>
      </c>
      <c r="G196" t="inlineStr">
        <is>
          <t>FORSHAGA</t>
        </is>
      </c>
      <c r="I196" t="n">
        <v>4.3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40968-2022</t>
        </is>
      </c>
      <c r="B197" t="inlineStr">
        <is>
          <t>avverkningsanmälan</t>
        </is>
      </c>
      <c r="C197" t="inlineStr">
        <is>
          <t>Föryngringsavverkning</t>
        </is>
      </c>
      <c r="D197" s="1" t="n">
        <v>44823</v>
      </c>
      <c r="E197" s="1" t="n">
        <v>46299</v>
      </c>
      <c r="F197" t="inlineStr">
        <is>
          <t>VÄRMLANDS LÄN</t>
        </is>
      </c>
      <c r="G197" t="inlineStr">
        <is>
          <t>FORSHAGA</t>
        </is>
      </c>
      <c r="I197" t="n">
        <v>16.5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12484-2022</t>
        </is>
      </c>
      <c r="B198" t="inlineStr">
        <is>
          <t>avverkningsanmälan</t>
        </is>
      </c>
      <c r="C198" t="inlineStr">
        <is>
          <t>Föryngringsavverkning</t>
        </is>
      </c>
      <c r="D198" s="1" t="n">
        <v>44638</v>
      </c>
      <c r="E198" s="1" t="n">
        <v>46299</v>
      </c>
      <c r="F198" t="inlineStr">
        <is>
          <t>VÄRMLANDS LÄN</t>
        </is>
      </c>
      <c r="G198" t="inlineStr">
        <is>
          <t>FORSHAGA</t>
        </is>
      </c>
      <c r="I198" t="n">
        <v>2.6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19069-2025</t>
        </is>
      </c>
      <c r="B199" t="inlineStr">
        <is>
          <t>avverkningsanmälan</t>
        </is>
      </c>
      <c r="C199" t="inlineStr">
        <is>
          <t>Föryngringsavverkning</t>
        </is>
      </c>
      <c r="D199" s="1" t="n">
        <v>45765</v>
      </c>
      <c r="E199" s="1" t="n">
        <v>46299</v>
      </c>
      <c r="F199" t="inlineStr">
        <is>
          <t>VÄRMLANDS LÄN</t>
        </is>
      </c>
      <c r="G199" t="inlineStr">
        <is>
          <t>FORSHAGA</t>
        </is>
      </c>
      <c r="I199" t="n">
        <v>4.8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30380-2026</t>
        </is>
      </c>
      <c r="B200" t="inlineStr">
        <is>
          <t>avverkningsanmälan</t>
        </is>
      </c>
      <c r="C200" t="inlineStr">
        <is>
          <t>Föryngringsavverkning</t>
        </is>
      </c>
      <c r="D200" s="1" t="n">
        <v>46209</v>
      </c>
      <c r="E200" s="1" t="n">
        <v>46299</v>
      </c>
      <c r="F200" t="inlineStr">
        <is>
          <t>VÄRMLANDS LÄN</t>
        </is>
      </c>
      <c r="G200" t="inlineStr">
        <is>
          <t>FORSHAGA</t>
        </is>
      </c>
      <c r="I200" t="n">
        <v>2.6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30374-2026</t>
        </is>
      </c>
      <c r="B201" t="inlineStr">
        <is>
          <t>avverkningsanmälan</t>
        </is>
      </c>
      <c r="C201" t="inlineStr">
        <is>
          <t>Föryngringsavverkning</t>
        </is>
      </c>
      <c r="D201" s="1" t="n">
        <v>46209</v>
      </c>
      <c r="E201" s="1" t="n">
        <v>46299</v>
      </c>
      <c r="F201" t="inlineStr">
        <is>
          <t>VÄRMLANDS LÄN</t>
        </is>
      </c>
      <c r="G201" t="inlineStr">
        <is>
          <t>FORSHAGA</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61231-2022</t>
        </is>
      </c>
      <c r="B202" t="inlineStr">
        <is>
          <t>avverkningsanmälan</t>
        </is>
      </c>
      <c r="C202" t="inlineStr">
        <is>
          <t>Föryngringsavverkning</t>
        </is>
      </c>
      <c r="D202" s="1" t="n">
        <v>44915</v>
      </c>
      <c r="E202" s="1" t="n">
        <v>46299</v>
      </c>
      <c r="F202" t="inlineStr">
        <is>
          <t>VÄRMLANDS LÄN</t>
        </is>
      </c>
      <c r="G202" t="inlineStr">
        <is>
          <t>FORSHAGA</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2818-2022</t>
        </is>
      </c>
      <c r="B203" t="inlineStr">
        <is>
          <t>avverkningsanmälan</t>
        </is>
      </c>
      <c r="C203" t="inlineStr">
        <is>
          <t>Föryngringsavverkning</t>
        </is>
      </c>
      <c r="D203" s="1" t="n">
        <v>44581</v>
      </c>
      <c r="E203" s="1" t="n">
        <v>46299</v>
      </c>
      <c r="F203" t="inlineStr">
        <is>
          <t>VÄRMLANDS LÄN</t>
        </is>
      </c>
      <c r="G203" t="inlineStr">
        <is>
          <t>FORSHAGA</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7919-2023</t>
        </is>
      </c>
      <c r="B204" t="inlineStr">
        <is>
          <t>avverkningsanmälan</t>
        </is>
      </c>
      <c r="C204" t="inlineStr">
        <is>
          <t>Föryngringsavverkning</t>
        </is>
      </c>
      <c r="D204" s="1" t="n">
        <v>44973</v>
      </c>
      <c r="E204" s="1" t="n">
        <v>46299</v>
      </c>
      <c r="F204" t="inlineStr">
        <is>
          <t>VÄRMLANDS LÄN</t>
        </is>
      </c>
      <c r="G204" t="inlineStr">
        <is>
          <t>FORSHAGA</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33222-2023</t>
        </is>
      </c>
      <c r="B205" t="inlineStr">
        <is>
          <t>avverkningsanmälan</t>
        </is>
      </c>
      <c r="C205" t="inlineStr">
        <is>
          <t>Föryngringsavverkning</t>
        </is>
      </c>
      <c r="D205" s="1" t="n">
        <v>45127</v>
      </c>
      <c r="E205" s="1" t="n">
        <v>46299</v>
      </c>
      <c r="F205" t="inlineStr">
        <is>
          <t>VÄRMLANDS LÄN</t>
        </is>
      </c>
      <c r="G205" t="inlineStr">
        <is>
          <t>FORSHAGA</t>
        </is>
      </c>
      <c r="H205" t="inlineStr">
        <is>
          <t>Kommuner</t>
        </is>
      </c>
      <c r="I205" t="n">
        <v>5.9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33229-2023</t>
        </is>
      </c>
      <c r="B206" t="inlineStr">
        <is>
          <t>avverkningsanmälan</t>
        </is>
      </c>
      <c r="C206" t="inlineStr">
        <is>
          <t>Föryngringsavverkning</t>
        </is>
      </c>
      <c r="D206" s="1" t="n">
        <v>45127</v>
      </c>
      <c r="E206" s="1" t="n">
        <v>46299</v>
      </c>
      <c r="F206" t="inlineStr">
        <is>
          <t>VÄRMLANDS LÄN</t>
        </is>
      </c>
      <c r="G206" t="inlineStr">
        <is>
          <t>FORSHAGA</t>
        </is>
      </c>
      <c r="H206" t="inlineStr">
        <is>
          <t>Kommuner</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15553-2022</t>
        </is>
      </c>
      <c r="B207" t="inlineStr">
        <is>
          <t>avverkningsanmälan</t>
        </is>
      </c>
      <c r="C207" t="inlineStr">
        <is>
          <t>Föryngringsavverkning</t>
        </is>
      </c>
      <c r="D207" s="1" t="n">
        <v>44662</v>
      </c>
      <c r="E207" s="1" t="n">
        <v>46299</v>
      </c>
      <c r="F207" t="inlineStr">
        <is>
          <t>VÄRMLANDS LÄN</t>
        </is>
      </c>
      <c r="G207" t="inlineStr">
        <is>
          <t>FORSHAGA</t>
        </is>
      </c>
      <c r="I207" t="n">
        <v>7.8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35940-2024</t>
        </is>
      </c>
      <c r="B208" t="inlineStr">
        <is>
          <t>avverkningsanmälan</t>
        </is>
      </c>
      <c r="C208" t="inlineStr">
        <is>
          <t>Föryngringsavverkning</t>
        </is>
      </c>
      <c r="D208" s="1" t="n">
        <v>45533</v>
      </c>
      <c r="E208" s="1" t="n">
        <v>46299</v>
      </c>
      <c r="F208" t="inlineStr">
        <is>
          <t>VÄRMLANDS LÄN</t>
        </is>
      </c>
      <c r="G208" t="inlineStr">
        <is>
          <t>FORSHAGA</t>
        </is>
      </c>
      <c r="I208" t="n">
        <v>6.7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48590-2024</t>
        </is>
      </c>
      <c r="B209" t="inlineStr">
        <is>
          <t>avverkningsanmälan</t>
        </is>
      </c>
      <c r="C209" t="inlineStr">
        <is>
          <t>Avverkning för att bevara och utveckla /försöksver</t>
        </is>
      </c>
      <c r="D209" s="1" t="n">
        <v>45593</v>
      </c>
      <c r="E209" s="1" t="n">
        <v>46299</v>
      </c>
      <c r="F209" t="inlineStr">
        <is>
          <t>VÄRMLANDS LÄN</t>
        </is>
      </c>
      <c r="G209" t="inlineStr">
        <is>
          <t>FORSHAGA</t>
        </is>
      </c>
      <c r="H209" t="inlineStr">
        <is>
          <t>Bergvik skog väst AB</t>
        </is>
      </c>
      <c r="I209" t="n">
        <v>7.9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12320-2024</t>
        </is>
      </c>
      <c r="B210" t="inlineStr">
        <is>
          <t>avverkningsanmälan</t>
        </is>
      </c>
      <c r="C210" t="inlineStr">
        <is>
          <t>Avverkning för att bevara och utveckla /försöksver</t>
        </is>
      </c>
      <c r="D210" s="1" t="n">
        <v>45378</v>
      </c>
      <c r="E210" s="1" t="n">
        <v>46299</v>
      </c>
      <c r="F210" t="inlineStr">
        <is>
          <t>VÄRMLANDS LÄN</t>
        </is>
      </c>
      <c r="G210" t="inlineStr">
        <is>
          <t>FORSHAGA</t>
        </is>
      </c>
      <c r="H210" t="inlineStr">
        <is>
          <t>Bergvik skog väst AB</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53596-2024</t>
        </is>
      </c>
      <c r="B211" t="inlineStr">
        <is>
          <t>avverkningsanmälan</t>
        </is>
      </c>
      <c r="C211" t="inlineStr">
        <is>
          <t>Föryngringsavverkning</t>
        </is>
      </c>
      <c r="D211" s="1" t="n">
        <v>45614</v>
      </c>
      <c r="E211" s="1" t="n">
        <v>46299</v>
      </c>
      <c r="F211" t="inlineStr">
        <is>
          <t>VÄRMLANDS LÄN</t>
        </is>
      </c>
      <c r="G211" t="inlineStr">
        <is>
          <t>FORSHAGA</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20933-2024</t>
        </is>
      </c>
      <c r="B212" t="inlineStr">
        <is>
          <t>avverkningsanmälan</t>
        </is>
      </c>
      <c r="C212" t="inlineStr">
        <is>
          <t>Föryngringsavverkning</t>
        </is>
      </c>
      <c r="D212" s="1" t="n">
        <v>45439</v>
      </c>
      <c r="E212" s="1" t="n">
        <v>46299</v>
      </c>
      <c r="F212" t="inlineStr">
        <is>
          <t>VÄRMLANDS LÄN</t>
        </is>
      </c>
      <c r="G212" t="inlineStr">
        <is>
          <t>FORSHAGA</t>
        </is>
      </c>
      <c r="I212" t="n">
        <v>11.3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31480-2026</t>
        </is>
      </c>
      <c r="B213" t="inlineStr">
        <is>
          <t>avverkningsanmälan</t>
        </is>
      </c>
      <c r="C213" t="inlineStr">
        <is>
          <t>Avverkning för annat ändamål</t>
        </is>
      </c>
      <c r="D213" s="1" t="n">
        <v>46222</v>
      </c>
      <c r="E213" s="1" t="n">
        <v>46299</v>
      </c>
      <c r="F213" t="inlineStr">
        <is>
          <t>VÄRMLANDS LÄN</t>
        </is>
      </c>
      <c r="G213" t="inlineStr">
        <is>
          <t>FORSHAGA</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71625-2021</t>
        </is>
      </c>
      <c r="B214" t="inlineStr">
        <is>
          <t>avverkningsanmälan</t>
        </is>
      </c>
      <c r="C214" t="inlineStr">
        <is>
          <t>Föryngringsavverkning</t>
        </is>
      </c>
      <c r="D214" s="1" t="n">
        <v>44542</v>
      </c>
      <c r="E214" s="1" t="n">
        <v>46299</v>
      </c>
      <c r="F214" t="inlineStr">
        <is>
          <t>VÄRMLANDS LÄN</t>
        </is>
      </c>
      <c r="G214" t="inlineStr">
        <is>
          <t>FORSHAGA</t>
        </is>
      </c>
      <c r="I214" t="n">
        <v>4.2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24036-2023</t>
        </is>
      </c>
      <c r="B215" t="inlineStr">
        <is>
          <t>avverkningsanmälan</t>
        </is>
      </c>
      <c r="C215" t="inlineStr">
        <is>
          <t>Föryngringsavverkning</t>
        </is>
      </c>
      <c r="D215" s="1" t="n">
        <v>45078</v>
      </c>
      <c r="E215" s="1" t="n">
        <v>46299</v>
      </c>
      <c r="F215" t="inlineStr">
        <is>
          <t>VÄRMLANDS LÄN</t>
        </is>
      </c>
      <c r="G215" t="inlineStr">
        <is>
          <t>FORSHAGA</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32830-2023</t>
        </is>
      </c>
      <c r="B216" t="inlineStr">
        <is>
          <t>avverkningsanmälan</t>
        </is>
      </c>
      <c r="C216" t="inlineStr">
        <is>
          <t>Föryngringsavverkning</t>
        </is>
      </c>
      <c r="D216" s="1" t="n">
        <v>45124</v>
      </c>
      <c r="E216" s="1" t="n">
        <v>46299</v>
      </c>
      <c r="F216" t="inlineStr">
        <is>
          <t>VÄRMLANDS LÄN</t>
        </is>
      </c>
      <c r="G216" t="inlineStr">
        <is>
          <t>FORSHAGA</t>
        </is>
      </c>
      <c r="H216" t="inlineStr">
        <is>
          <t>Kommuner</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29231-2023</t>
        </is>
      </c>
      <c r="B217" t="inlineStr">
        <is>
          <t>avverkningsanmälan</t>
        </is>
      </c>
      <c r="C217" t="inlineStr">
        <is>
          <t>Föryngringsavverkning</t>
        </is>
      </c>
      <c r="D217" s="1" t="n">
        <v>45105</v>
      </c>
      <c r="E217" s="1" t="n">
        <v>46299</v>
      </c>
      <c r="F217" t="inlineStr">
        <is>
          <t>VÄRMLANDS LÄN</t>
        </is>
      </c>
      <c r="G217" t="inlineStr">
        <is>
          <t>FORSHAGA</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25008-2023</t>
        </is>
      </c>
      <c r="B218" t="inlineStr">
        <is>
          <t>avverkningsanmälan</t>
        </is>
      </c>
      <c r="C218" t="inlineStr">
        <is>
          <t>Föryngringsavverkning</t>
        </is>
      </c>
      <c r="D218" s="1" t="n">
        <v>45085</v>
      </c>
      <c r="E218" s="1" t="n">
        <v>46299</v>
      </c>
      <c r="F218" t="inlineStr">
        <is>
          <t>VÄRMLANDS LÄN</t>
        </is>
      </c>
      <c r="G218" t="inlineStr">
        <is>
          <t>FORSHAGA</t>
        </is>
      </c>
      <c r="I218" t="n">
        <v>3.2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38261-2022</t>
        </is>
      </c>
      <c r="B219" t="inlineStr">
        <is>
          <t>avverkningsanmälan</t>
        </is>
      </c>
      <c r="C219" t="inlineStr">
        <is>
          <t>Föryngringsavverkning</t>
        </is>
      </c>
      <c r="D219" s="1" t="n">
        <v>44812</v>
      </c>
      <c r="E219" s="1" t="n">
        <v>46299</v>
      </c>
      <c r="F219" t="inlineStr">
        <is>
          <t>VÄRMLANDS LÄN</t>
        </is>
      </c>
      <c r="G219" t="inlineStr">
        <is>
          <t>FORSHAGA</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34786-2024</t>
        </is>
      </c>
      <c r="B220" t="inlineStr">
        <is>
          <t>avverkningsanmälan</t>
        </is>
      </c>
      <c r="C220" t="inlineStr">
        <is>
          <t>Föryngringsavverkning</t>
        </is>
      </c>
      <c r="D220" s="1" t="n">
        <v>45526</v>
      </c>
      <c r="E220" s="1" t="n">
        <v>46299</v>
      </c>
      <c r="F220" t="inlineStr">
        <is>
          <t>VÄRMLANDS LÄN</t>
        </is>
      </c>
      <c r="G220" t="inlineStr">
        <is>
          <t>FORSHAGA</t>
        </is>
      </c>
      <c r="H220" t="inlineStr">
        <is>
          <t>Bergvik skog väst AB</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33219-2023</t>
        </is>
      </c>
      <c r="B221" t="inlineStr">
        <is>
          <t>avverkningsanmälan</t>
        </is>
      </c>
      <c r="C221" t="inlineStr">
        <is>
          <t>Föryngringsavverkning</t>
        </is>
      </c>
      <c r="D221" s="1" t="n">
        <v>45127</v>
      </c>
      <c r="E221" s="1" t="n">
        <v>46299</v>
      </c>
      <c r="F221" t="inlineStr">
        <is>
          <t>VÄRMLANDS LÄN</t>
        </is>
      </c>
      <c r="G221" t="inlineStr">
        <is>
          <t>FORSHAGA</t>
        </is>
      </c>
      <c r="H221" t="inlineStr">
        <is>
          <t>Kommuner</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20928-2024</t>
        </is>
      </c>
      <c r="B222" t="inlineStr">
        <is>
          <t>avverkningsanmälan</t>
        </is>
      </c>
      <c r="C222" t="inlineStr">
        <is>
          <t>Föryngringsavverkning</t>
        </is>
      </c>
      <c r="D222" s="1" t="n">
        <v>45439</v>
      </c>
      <c r="E222" s="1" t="n">
        <v>46299</v>
      </c>
      <c r="F222" t="inlineStr">
        <is>
          <t>VÄRMLANDS LÄN</t>
        </is>
      </c>
      <c r="G222" t="inlineStr">
        <is>
          <t>FORSHAGA</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33085-2026</t>
        </is>
      </c>
      <c r="B223" t="inlineStr">
        <is>
          <t>avverkningsanmälan</t>
        </is>
      </c>
      <c r="C223" t="inlineStr">
        <is>
          <t>Föryngringsavverkning</t>
        </is>
      </c>
      <c r="D223" s="1" t="n">
        <v>46245</v>
      </c>
      <c r="E223" s="1" t="n">
        <v>46299</v>
      </c>
      <c r="F223" t="inlineStr">
        <is>
          <t>VÄRMLANDS LÄN</t>
        </is>
      </c>
      <c r="G223" t="inlineStr">
        <is>
          <t>FORSHAGA</t>
        </is>
      </c>
      <c r="H223" t="inlineStr">
        <is>
          <t>Bergvik skog väst AB</t>
        </is>
      </c>
      <c r="I223" t="n">
        <v>10.6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33136-2026</t>
        </is>
      </c>
      <c r="B224" t="inlineStr">
        <is>
          <t>avverkningsanmälan</t>
        </is>
      </c>
      <c r="C224" t="inlineStr">
        <is>
          <t>Föryngringsavverkning</t>
        </is>
      </c>
      <c r="D224" s="1" t="n">
        <v>46245</v>
      </c>
      <c r="E224" s="1" t="n">
        <v>46299</v>
      </c>
      <c r="F224" t="inlineStr">
        <is>
          <t>VÄRMLANDS LÄN</t>
        </is>
      </c>
      <c r="G224" t="inlineStr">
        <is>
          <t>FORSHAGA</t>
        </is>
      </c>
      <c r="H224" t="inlineStr">
        <is>
          <t>Bergvik skog väst AB</t>
        </is>
      </c>
      <c r="I224" t="n">
        <v>3.2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39507-2026</t>
        </is>
      </c>
      <c r="B225" t="inlineStr">
        <is>
          <t>avverkningsanmälan</t>
        </is>
      </c>
      <c r="C225" t="inlineStr">
        <is>
          <t>Föryngringsavverkning</t>
        </is>
      </c>
      <c r="D225" s="1" t="n">
        <v>46289</v>
      </c>
      <c r="E225" s="1" t="n">
        <v>46299</v>
      </c>
      <c r="F225" t="inlineStr">
        <is>
          <t>VÄRMLANDS LÄN</t>
        </is>
      </c>
      <c r="G225" t="inlineStr">
        <is>
          <t>FORSHAGA</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39366-2026</t>
        </is>
      </c>
      <c r="B226" t="inlineStr">
        <is>
          <t>avverkningsanmälan</t>
        </is>
      </c>
      <c r="C226" t="inlineStr">
        <is>
          <t>Föryngringsavverkning</t>
        </is>
      </c>
      <c r="D226" s="1" t="n">
        <v>46288</v>
      </c>
      <c r="E226" s="1" t="n">
        <v>46299</v>
      </c>
      <c r="F226" t="inlineStr">
        <is>
          <t>VÄRMLANDS LÄN</t>
        </is>
      </c>
      <c r="G226" t="inlineStr">
        <is>
          <t>FORSHAGA</t>
        </is>
      </c>
      <c r="I226" t="n">
        <v>9.5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39368-2026</t>
        </is>
      </c>
      <c r="B227" t="inlineStr">
        <is>
          <t>avverkningsanmälan</t>
        </is>
      </c>
      <c r="C227" t="inlineStr">
        <is>
          <t>Föryngringsavverkning</t>
        </is>
      </c>
      <c r="D227" s="1" t="n">
        <v>46288</v>
      </c>
      <c r="E227" s="1" t="n">
        <v>46299</v>
      </c>
      <c r="F227" t="inlineStr">
        <is>
          <t>VÄRMLANDS LÄN</t>
        </is>
      </c>
      <c r="G227" t="inlineStr">
        <is>
          <t>FORSHAGA</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33054-2026</t>
        </is>
      </c>
      <c r="B228" t="inlineStr">
        <is>
          <t>avverkningsanmälan</t>
        </is>
      </c>
      <c r="C228" t="inlineStr">
        <is>
          <t>Föryngringsavverkning</t>
        </is>
      </c>
      <c r="D228" s="1" t="n">
        <v>46245</v>
      </c>
      <c r="E228" s="1" t="n">
        <v>46299</v>
      </c>
      <c r="F228" t="inlineStr">
        <is>
          <t>VÄRMLANDS LÄN</t>
        </is>
      </c>
      <c r="G228" t="inlineStr">
        <is>
          <t>FORSHAGA</t>
        </is>
      </c>
      <c r="H228" t="inlineStr">
        <is>
          <t>Bergvik skog väst AB</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33055-2026</t>
        </is>
      </c>
      <c r="B229" t="inlineStr">
        <is>
          <t>avverkningsanmälan</t>
        </is>
      </c>
      <c r="C229" t="inlineStr">
        <is>
          <t>Föryngringsavverkning</t>
        </is>
      </c>
      <c r="D229" s="1" t="n">
        <v>46245</v>
      </c>
      <c r="E229" s="1" t="n">
        <v>46299</v>
      </c>
      <c r="F229" t="inlineStr">
        <is>
          <t>VÄRMLANDS LÄN</t>
        </is>
      </c>
      <c r="G229" t="inlineStr">
        <is>
          <t>FORSHAGA</t>
        </is>
      </c>
      <c r="H229" t="inlineStr">
        <is>
          <t>Bergvik skog väst AB</t>
        </is>
      </c>
      <c r="I229" t="n">
        <v>11.8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8399-2025</t>
        </is>
      </c>
      <c r="B230" t="inlineStr">
        <is>
          <t>avverkningsanmälan</t>
        </is>
      </c>
      <c r="C230" t="inlineStr">
        <is>
          <t>Avverkning för att bevara och utveckla /försöksver</t>
        </is>
      </c>
      <c r="D230" s="1" t="n">
        <v>45709</v>
      </c>
      <c r="E230" s="1" t="n">
        <v>46299</v>
      </c>
      <c r="F230" t="inlineStr">
        <is>
          <t>VÄRMLANDS LÄN</t>
        </is>
      </c>
      <c r="G230" t="inlineStr">
        <is>
          <t>FORSHAGA</t>
        </is>
      </c>
      <c r="H230" t="inlineStr">
        <is>
          <t>Bergvik skog väst AB</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55249-2023</t>
        </is>
      </c>
      <c r="B231" t="inlineStr">
        <is>
          <t>avverkningsanmälan</t>
        </is>
      </c>
      <c r="C231" t="inlineStr">
        <is>
          <t>Föryngringsavverkning</t>
        </is>
      </c>
      <c r="D231" s="1" t="n">
        <v>45237</v>
      </c>
      <c r="E231" s="1" t="n">
        <v>46299</v>
      </c>
      <c r="F231" t="inlineStr">
        <is>
          <t>VÄRMLANDS LÄN</t>
        </is>
      </c>
      <c r="G231" t="inlineStr">
        <is>
          <t>FORSHAGA</t>
        </is>
      </c>
      <c r="I231" t="n">
        <v>3.9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28321-2023</t>
        </is>
      </c>
      <c r="B232" t="inlineStr">
        <is>
          <t>avverkningsanmälan</t>
        </is>
      </c>
      <c r="C232" t="inlineStr">
        <is>
          <t>Föryngringsavverkning</t>
        </is>
      </c>
      <c r="D232" s="1" t="n">
        <v>45099</v>
      </c>
      <c r="E232" s="1" t="n">
        <v>46299</v>
      </c>
      <c r="F232" t="inlineStr">
        <is>
          <t>VÄRMLANDS LÄN</t>
        </is>
      </c>
      <c r="G232" t="inlineStr">
        <is>
          <t>FORSHAGA</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33741-2026</t>
        </is>
      </c>
      <c r="B233" t="inlineStr">
        <is>
          <t>avverkningsanmälan</t>
        </is>
      </c>
      <c r="C233" t="inlineStr">
        <is>
          <t>Föryngringsavverkning</t>
        </is>
      </c>
      <c r="D233" s="1" t="n">
        <v>46251</v>
      </c>
      <c r="E233" s="1" t="n">
        <v>46299</v>
      </c>
      <c r="F233" t="inlineStr">
        <is>
          <t>VÄRMLANDS LÄN</t>
        </is>
      </c>
      <c r="G233" t="inlineStr">
        <is>
          <t>FORSHAGA</t>
        </is>
      </c>
      <c r="H233" t="inlineStr">
        <is>
          <t>Bergvik skog väst AB</t>
        </is>
      </c>
      <c r="I233" t="n">
        <v>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33887-2026</t>
        </is>
      </c>
      <c r="B234" t="inlineStr">
        <is>
          <t>avverkningsanmälan</t>
        </is>
      </c>
      <c r="C234" t="inlineStr">
        <is>
          <t>Föryngringsavverkning</t>
        </is>
      </c>
      <c r="D234" s="1" t="n">
        <v>46251</v>
      </c>
      <c r="E234" s="1" t="n">
        <v>46299</v>
      </c>
      <c r="F234" t="inlineStr">
        <is>
          <t>VÄRMLANDS LÄN</t>
        </is>
      </c>
      <c r="G234" t="inlineStr">
        <is>
          <t>FORSHAGA</t>
        </is>
      </c>
      <c r="H234" t="inlineStr">
        <is>
          <t>Bergvik skog väst AB</t>
        </is>
      </c>
      <c r="I234" t="n">
        <v>4.1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58114-2024</t>
        </is>
      </c>
      <c r="B235" t="inlineStr">
        <is>
          <t>avverkningsanmälan</t>
        </is>
      </c>
      <c r="C235" t="inlineStr">
        <is>
          <t>Föryngringsavverkning</t>
        </is>
      </c>
      <c r="D235" s="1" t="n">
        <v>45632</v>
      </c>
      <c r="E235" s="1" t="n">
        <v>46299</v>
      </c>
      <c r="F235" t="inlineStr">
        <is>
          <t>VÄRMLANDS LÄN</t>
        </is>
      </c>
      <c r="G235" t="inlineStr">
        <is>
          <t>FORSHAGA</t>
        </is>
      </c>
      <c r="I235" t="n">
        <v>5.1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34637-2026</t>
        </is>
      </c>
      <c r="B236" t="inlineStr">
        <is>
          <t>avverkningsanmälan</t>
        </is>
      </c>
      <c r="C236" t="inlineStr">
        <is>
          <t>Föryngringsavverkning</t>
        </is>
      </c>
      <c r="D236" s="1" t="n">
        <v>46255</v>
      </c>
      <c r="E236" s="1" t="n">
        <v>46299</v>
      </c>
      <c r="F236" t="inlineStr">
        <is>
          <t>VÄRMLANDS LÄN</t>
        </is>
      </c>
      <c r="G236" t="inlineStr">
        <is>
          <t>FORSHAGA</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60043-2022</t>
        </is>
      </c>
      <c r="B237" t="inlineStr">
        <is>
          <t>avverkningsanmälan</t>
        </is>
      </c>
      <c r="C237" t="inlineStr">
        <is>
          <t>Föryngringsavverkning</t>
        </is>
      </c>
      <c r="D237" s="1" t="n">
        <v>44902</v>
      </c>
      <c r="E237" s="1" t="n">
        <v>46299</v>
      </c>
      <c r="F237" t="inlineStr">
        <is>
          <t>VÄRMLANDS LÄN</t>
        </is>
      </c>
      <c r="G237" t="inlineStr">
        <is>
          <t>FORSHAGA</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10996-2025</t>
        </is>
      </c>
      <c r="B238" t="inlineStr">
        <is>
          <t>avverkningsanmälan</t>
        </is>
      </c>
      <c r="C238" t="inlineStr">
        <is>
          <t>Föryngringsavverkning</t>
        </is>
      </c>
      <c r="D238" s="1" t="n">
        <v>45723</v>
      </c>
      <c r="E238" s="1" t="n">
        <v>46299</v>
      </c>
      <c r="F238" t="inlineStr">
        <is>
          <t>VÄRMLANDS LÄN</t>
        </is>
      </c>
      <c r="G238" t="inlineStr">
        <is>
          <t>FORSHAGA</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40732-2026</t>
        </is>
      </c>
      <c r="B239" t="inlineStr">
        <is>
          <t>avverkningsanmälan</t>
        </is>
      </c>
      <c r="C239" t="inlineStr">
        <is>
          <t>Föryngringsavverkning</t>
        </is>
      </c>
      <c r="D239" s="1" t="n">
        <v>46296</v>
      </c>
      <c r="E239" s="1" t="n">
        <v>46299</v>
      </c>
      <c r="F239" t="inlineStr">
        <is>
          <t>VÄRMLANDS LÄN</t>
        </is>
      </c>
      <c r="G239" t="inlineStr">
        <is>
          <t>FORSHAGA</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2843-2022</t>
        </is>
      </c>
      <c r="B240" t="inlineStr">
        <is>
          <t>avverkningsanmälan</t>
        </is>
      </c>
      <c r="C240" t="inlineStr">
        <is>
          <t>Föryngringsavverkning</t>
        </is>
      </c>
      <c r="D240" s="1" t="n">
        <v>44581</v>
      </c>
      <c r="E240" s="1" t="n">
        <v>46299</v>
      </c>
      <c r="F240" t="inlineStr">
        <is>
          <t>VÄRMLANDS LÄN</t>
        </is>
      </c>
      <c r="G240" t="inlineStr">
        <is>
          <t>FORSHAGA</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21295-2023</t>
        </is>
      </c>
      <c r="B241" t="inlineStr">
        <is>
          <t>avverkningsanmälan</t>
        </is>
      </c>
      <c r="C241" t="inlineStr">
        <is>
          <t>Föryngringsavverkning</t>
        </is>
      </c>
      <c r="D241" s="1" t="n">
        <v>45062</v>
      </c>
      <c r="E241" s="1" t="n">
        <v>46299</v>
      </c>
      <c r="F241" t="inlineStr">
        <is>
          <t>VÄRMLANDS LÄN</t>
        </is>
      </c>
      <c r="G241" t="inlineStr">
        <is>
          <t>FORSHAGA</t>
        </is>
      </c>
      <c r="H241" t="inlineStr">
        <is>
          <t>Bergvik skog väst AB</t>
        </is>
      </c>
      <c r="I241" t="n">
        <v>0.3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32795-2023</t>
        </is>
      </c>
      <c r="B242" t="inlineStr">
        <is>
          <t>avverkningsanmälan</t>
        </is>
      </c>
      <c r="C242" t="inlineStr">
        <is>
          <t>Föryngringsavverkning</t>
        </is>
      </c>
      <c r="D242" s="1" t="n">
        <v>45124</v>
      </c>
      <c r="E242" s="1" t="n">
        <v>46299</v>
      </c>
      <c r="F242" t="inlineStr">
        <is>
          <t>VÄRMLANDS LÄN</t>
        </is>
      </c>
      <c r="G242" t="inlineStr">
        <is>
          <t>FORSHAGA</t>
        </is>
      </c>
      <c r="H242" t="inlineStr">
        <is>
          <t>Kommuner</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35654-2024</t>
        </is>
      </c>
      <c r="B243" t="inlineStr">
        <is>
          <t>avverkningsanmälan</t>
        </is>
      </c>
      <c r="C243" t="inlineStr">
        <is>
          <t>Föryngringsavverkning</t>
        </is>
      </c>
      <c r="D243" s="1" t="n">
        <v>45532</v>
      </c>
      <c r="E243" s="1" t="n">
        <v>46299</v>
      </c>
      <c r="F243" t="inlineStr">
        <is>
          <t>VÄRMLANDS LÄN</t>
        </is>
      </c>
      <c r="G243" t="inlineStr">
        <is>
          <t>FORSHAGA</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23117-2023</t>
        </is>
      </c>
      <c r="B244" t="inlineStr">
        <is>
          <t>avverkningsanmälan</t>
        </is>
      </c>
      <c r="C244" t="inlineStr">
        <is>
          <t>Föryngringsavverkning</t>
        </is>
      </c>
      <c r="D244" s="1" t="n">
        <v>45075</v>
      </c>
      <c r="E244" s="1" t="n">
        <v>46299</v>
      </c>
      <c r="F244" t="inlineStr">
        <is>
          <t>VÄRMLANDS LÄN</t>
        </is>
      </c>
      <c r="G244" t="inlineStr">
        <is>
          <t>FORSHAGA</t>
        </is>
      </c>
      <c r="H244" t="inlineStr">
        <is>
          <t>Kyrkan</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53585-2024</t>
        </is>
      </c>
      <c r="B245" t="inlineStr">
        <is>
          <t>avverkningsanmälan</t>
        </is>
      </c>
      <c r="C245" t="inlineStr">
        <is>
          <t>Föryngringsavverkning</t>
        </is>
      </c>
      <c r="D245" s="1" t="n">
        <v>45614</v>
      </c>
      <c r="E245" s="1" t="n">
        <v>46299</v>
      </c>
      <c r="F245" t="inlineStr">
        <is>
          <t>VÄRMLANDS LÄN</t>
        </is>
      </c>
      <c r="G245" t="inlineStr">
        <is>
          <t>FORSHAGA</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34861-2022</t>
        </is>
      </c>
      <c r="B246" t="inlineStr">
        <is>
          <t>avverkningsanmälan</t>
        </is>
      </c>
      <c r="C246" t="inlineStr">
        <is>
          <t>Föryngringsavverkning</t>
        </is>
      </c>
      <c r="D246" s="1" t="n">
        <v>44796</v>
      </c>
      <c r="E246" s="1" t="n">
        <v>46299</v>
      </c>
      <c r="F246" t="inlineStr">
        <is>
          <t>VÄRMLANDS LÄN</t>
        </is>
      </c>
      <c r="G246" t="inlineStr">
        <is>
          <t>FORSHAGA</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1338-2023</t>
        </is>
      </c>
      <c r="B247" t="inlineStr">
        <is>
          <t>avverkningsanmälan</t>
        </is>
      </c>
      <c r="C247" t="inlineStr">
        <is>
          <t>Föryngringsavverkning</t>
        </is>
      </c>
      <c r="D247" s="1" t="n">
        <v>44936</v>
      </c>
      <c r="E247" s="1" t="n">
        <v>46299</v>
      </c>
      <c r="F247" t="inlineStr">
        <is>
          <t>VÄRMLANDS LÄN</t>
        </is>
      </c>
      <c r="G247" t="inlineStr">
        <is>
          <t>FORSHAGA</t>
        </is>
      </c>
      <c r="I247" t="n">
        <v>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61463-2022</t>
        </is>
      </c>
      <c r="B248" t="inlineStr">
        <is>
          <t>avverkningsanmälan</t>
        </is>
      </c>
      <c r="C248" t="inlineStr">
        <is>
          <t>Föryngringsavverkning</t>
        </is>
      </c>
      <c r="D248" s="1" t="n">
        <v>44916</v>
      </c>
      <c r="E248" s="1" t="n">
        <v>46299</v>
      </c>
      <c r="F248" t="inlineStr">
        <is>
          <t>VÄRMLANDS LÄN</t>
        </is>
      </c>
      <c r="G248" t="inlineStr">
        <is>
          <t>FORSHAGA</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33227-2023</t>
        </is>
      </c>
      <c r="B249" t="inlineStr">
        <is>
          <t>avverkningsanmälan</t>
        </is>
      </c>
      <c r="C249" t="inlineStr">
        <is>
          <t>Föryngringsavverkning</t>
        </is>
      </c>
      <c r="D249" s="1" t="n">
        <v>45127</v>
      </c>
      <c r="E249" s="1" t="n">
        <v>46299</v>
      </c>
      <c r="F249" t="inlineStr">
        <is>
          <t>VÄRMLANDS LÄN</t>
        </is>
      </c>
      <c r="G249" t="inlineStr">
        <is>
          <t>FORSHAGA</t>
        </is>
      </c>
      <c r="H249" t="inlineStr">
        <is>
          <t>Kommuner</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19323-2023</t>
        </is>
      </c>
      <c r="B250" t="inlineStr">
        <is>
          <t>avverkningsanmälan</t>
        </is>
      </c>
      <c r="C250" t="inlineStr">
        <is>
          <t>Föryngringsavverkning</t>
        </is>
      </c>
      <c r="D250" s="1" t="n">
        <v>45049</v>
      </c>
      <c r="E250" s="1" t="n">
        <v>46299</v>
      </c>
      <c r="F250" t="inlineStr">
        <is>
          <t>VÄRMLANDS LÄN</t>
        </is>
      </c>
      <c r="G250" t="inlineStr">
        <is>
          <t>FORSHAGA</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35336-2024</t>
        </is>
      </c>
      <c r="B251" t="inlineStr">
        <is>
          <t>avverkningsanmälan</t>
        </is>
      </c>
      <c r="C251" t="inlineStr">
        <is>
          <t>Föryngringsavverkning</t>
        </is>
      </c>
      <c r="D251" s="1" t="n">
        <v>45530</v>
      </c>
      <c r="E251" s="1" t="n">
        <v>46299</v>
      </c>
      <c r="F251" t="inlineStr">
        <is>
          <t>VÄRMLANDS LÄN</t>
        </is>
      </c>
      <c r="G251" t="inlineStr">
        <is>
          <t>FORSHAGA</t>
        </is>
      </c>
      <c r="H251" t="inlineStr">
        <is>
          <t>Kommuner</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S 5497-2022</t>
        </is>
      </c>
      <c r="B252" t="inlineStr">
        <is>
          <t>samrådsanmälan</t>
        </is>
      </c>
      <c r="C252" t="inlineStr">
        <is>
          <t>Skogsgödsling</t>
        </is>
      </c>
      <c r="D252" s="1" t="n">
        <v>44834</v>
      </c>
      <c r="E252" s="1" t="n">
        <v>46299</v>
      </c>
      <c r="F252" t="inlineStr">
        <is>
          <t>VÄRMLANDS LÄN</t>
        </is>
      </c>
      <c r="G252" t="inlineStr">
        <is>
          <t>FORSHAGA</t>
        </is>
      </c>
      <c r="H252" t="inlineStr">
        <is>
          <t>Bergvik skog väst AB</t>
        </is>
      </c>
      <c r="I252" t="n">
        <v>31.1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4414-2023</t>
        </is>
      </c>
      <c r="B253" t="inlineStr">
        <is>
          <t>samrådsanmälan</t>
        </is>
      </c>
      <c r="C253" t="inlineStr">
        <is>
          <t>Skogsgödsling</t>
        </is>
      </c>
      <c r="D253" s="1" t="n">
        <v>45266</v>
      </c>
      <c r="E253" s="1" t="n">
        <v>46299</v>
      </c>
      <c r="F253" t="inlineStr">
        <is>
          <t>VÄRMLANDS LÄN</t>
        </is>
      </c>
      <c r="G253" t="inlineStr">
        <is>
          <t>FORSHAGA</t>
        </is>
      </c>
      <c r="H253" t="inlineStr">
        <is>
          <t>Bergvik skog väst AB</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S 4411-2023</t>
        </is>
      </c>
      <c r="B254" t="inlineStr">
        <is>
          <t>samrådsanmälan</t>
        </is>
      </c>
      <c r="C254" t="inlineStr">
        <is>
          <t>Skogsgödsling</t>
        </is>
      </c>
      <c r="D254" s="1" t="n">
        <v>45266</v>
      </c>
      <c r="E254" s="1" t="n">
        <v>46299</v>
      </c>
      <c r="F254" t="inlineStr">
        <is>
          <t>VÄRMLANDS LÄN</t>
        </is>
      </c>
      <c r="G254" t="inlineStr">
        <is>
          <t>FORSHAGA</t>
        </is>
      </c>
      <c r="H254" t="inlineStr">
        <is>
          <t>Bergvik skog väst AB</t>
        </is>
      </c>
      <c r="I254" t="n">
        <v>7.3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915-2022</t>
        </is>
      </c>
      <c r="B255" t="inlineStr">
        <is>
          <t>samrådsanmälan</t>
        </is>
      </c>
      <c r="C255" t="inlineStr">
        <is>
          <t>Skogsgödsling</t>
        </is>
      </c>
      <c r="D255" s="1" t="n">
        <v>44606</v>
      </c>
      <c r="E255" s="1" t="n">
        <v>46299</v>
      </c>
      <c r="F255" t="inlineStr">
        <is>
          <t>VÄRMLANDS LÄN</t>
        </is>
      </c>
      <c r="G255" t="inlineStr">
        <is>
          <t>FORSHAGA</t>
        </is>
      </c>
      <c r="H255" t="inlineStr">
        <is>
          <t>Bergvik skog väst AB</t>
        </is>
      </c>
      <c r="I255" t="n">
        <v>18.1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6974-2022</t>
        </is>
      </c>
      <c r="B256" t="inlineStr">
        <is>
          <t>samrådsanmälan</t>
        </is>
      </c>
      <c r="C256" t="inlineStr">
        <is>
          <t>Skogsgödsling</t>
        </is>
      </c>
      <c r="D256" s="1" t="n">
        <v>44901</v>
      </c>
      <c r="E256" s="1" t="n">
        <v>46299</v>
      </c>
      <c r="F256" t="inlineStr">
        <is>
          <t>VÄRMLANDS LÄN</t>
        </is>
      </c>
      <c r="G256" t="inlineStr">
        <is>
          <t>FORSHAGA</t>
        </is>
      </c>
      <c r="H256" t="inlineStr">
        <is>
          <t>Bergvik skog väst AB</t>
        </is>
      </c>
      <c r="I256" t="n">
        <v>28.8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6964-2022</t>
        </is>
      </c>
      <c r="B257" t="inlineStr">
        <is>
          <t>samrådsanmälan</t>
        </is>
      </c>
      <c r="C257" t="inlineStr">
        <is>
          <t>Skogsgödsling</t>
        </is>
      </c>
      <c r="D257" s="1" t="n">
        <v>44901</v>
      </c>
      <c r="E257" s="1" t="n">
        <v>46299</v>
      </c>
      <c r="F257" t="inlineStr">
        <is>
          <t>VÄRMLANDS LÄN</t>
        </is>
      </c>
      <c r="G257" t="inlineStr">
        <is>
          <t>FORSHAGA</t>
        </is>
      </c>
      <c r="H257" t="inlineStr">
        <is>
          <t>Bergvik skog väst AB</t>
        </is>
      </c>
      <c r="I257" t="n">
        <v>18.8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4403-2023</t>
        </is>
      </c>
      <c r="B258" t="inlineStr">
        <is>
          <t>samrådsanmälan</t>
        </is>
      </c>
      <c r="C258" t="inlineStr">
        <is>
          <t>Skogsgödsling</t>
        </is>
      </c>
      <c r="D258" s="1" t="n">
        <v>45266</v>
      </c>
      <c r="E258" s="1" t="n">
        <v>46299</v>
      </c>
      <c r="F258" t="inlineStr">
        <is>
          <t>VÄRMLANDS LÄN</t>
        </is>
      </c>
      <c r="G258" t="inlineStr">
        <is>
          <t>FORSHAGA</t>
        </is>
      </c>
      <c r="H258" t="inlineStr">
        <is>
          <t>Bergvik skog väst AB</t>
        </is>
      </c>
      <c r="I258" t="n">
        <v>67.7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4429-2023</t>
        </is>
      </c>
      <c r="B259" t="inlineStr">
        <is>
          <t>samrådsanmälan</t>
        </is>
      </c>
      <c r="C259" t="inlineStr">
        <is>
          <t>Skogsgödsling</t>
        </is>
      </c>
      <c r="D259" s="1" t="n">
        <v>45266</v>
      </c>
      <c r="E259" s="1" t="n">
        <v>46299</v>
      </c>
      <c r="F259" t="inlineStr">
        <is>
          <t>VÄRMLANDS LÄN</t>
        </is>
      </c>
      <c r="G259" t="inlineStr">
        <is>
          <t>FORSHAGA</t>
        </is>
      </c>
      <c r="H259" t="inlineStr">
        <is>
          <t>Bergvik skog väst AB</t>
        </is>
      </c>
      <c r="I259" t="n">
        <v>80.3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870-2022</t>
        </is>
      </c>
      <c r="B260" t="inlineStr">
        <is>
          <t>samrådsanmälan</t>
        </is>
      </c>
      <c r="C260" t="inlineStr">
        <is>
          <t>Skogsgödsling</t>
        </is>
      </c>
      <c r="D260" s="1" t="n">
        <v>44606</v>
      </c>
      <c r="E260" s="1" t="n">
        <v>46299</v>
      </c>
      <c r="F260" t="inlineStr">
        <is>
          <t>VÄRMLANDS LÄN</t>
        </is>
      </c>
      <c r="G260" t="inlineStr">
        <is>
          <t>FORSHAGA</t>
        </is>
      </c>
      <c r="H260" t="inlineStr">
        <is>
          <t>Bergvik skog väst AB</t>
        </is>
      </c>
      <c r="I260" t="n">
        <v>15.1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S 933-2022</t>
        </is>
      </c>
      <c r="B261" t="inlineStr">
        <is>
          <t>samrådsanmälan</t>
        </is>
      </c>
      <c r="C261" t="inlineStr">
        <is>
          <t>Skogsgödsling</t>
        </is>
      </c>
      <c r="D261" s="1" t="n">
        <v>44606</v>
      </c>
      <c r="E261" s="1" t="n">
        <v>46299</v>
      </c>
      <c r="F261" t="inlineStr">
        <is>
          <t>VÄRMLANDS LÄN</t>
        </is>
      </c>
      <c r="G261" t="inlineStr">
        <is>
          <t>FORSHAGA</t>
        </is>
      </c>
      <c r="H261" t="inlineStr">
        <is>
          <t>Bergvik skog väst AB</t>
        </is>
      </c>
      <c r="I261" t="n">
        <v>40.7</v>
      </c>
      <c r="J261" t="n">
        <v>0</v>
      </c>
      <c r="K261" t="n">
        <v>0</v>
      </c>
      <c r="L261" t="n">
        <v>0</v>
      </c>
      <c r="M261" t="n">
        <v>0</v>
      </c>
      <c r="N261" t="n">
        <v>0</v>
      </c>
      <c r="O261" t="n">
        <v>0</v>
      </c>
      <c r="P261" t="n">
        <v>0</v>
      </c>
      <c r="Q261" t="n">
        <v>0</v>
      </c>
      <c r="R261" t="n">
        <v>0</v>
      </c>
      <c r="S261" t="n">
        <v>0</v>
      </c>
      <c r="T261" t="n">
        <v>0</v>
      </c>
      <c r="U261" t="n">
        <v>0</v>
      </c>
      <c r="V261" s="2" t="inlineStr"/>
    </row>
    <row r="262">
      <c r="A262" t="inlineStr">
        <is>
          <t>S 2011-2025</t>
        </is>
      </c>
      <c r="B262" t="inlineStr">
        <is>
          <t>samrådsanmälan</t>
        </is>
      </c>
      <c r="C262" t="inlineStr">
        <is>
          <t>Annan skogsbruksåtgärd</t>
        </is>
      </c>
      <c r="D262" s="1" t="n">
        <v>45834</v>
      </c>
      <c r="E262" s="1" t="n">
        <v>46299</v>
      </c>
      <c r="F262" t="inlineStr">
        <is>
          <t>VÄRMLANDS LÄN</t>
        </is>
      </c>
      <c r="G262" t="inlineStr">
        <is>
          <t>FORSHAGA</t>
        </is>
      </c>
      <c r="I262" t="n">
        <v>0.5</v>
      </c>
      <c r="J262" t="n">
        <v>0</v>
      </c>
      <c r="K262" t="n">
        <v>0</v>
      </c>
      <c r="L262" t="n">
        <v>0</v>
      </c>
      <c r="M262" t="n">
        <v>0</v>
      </c>
      <c r="N262" t="n">
        <v>0</v>
      </c>
      <c r="O262" t="n">
        <v>0</v>
      </c>
      <c r="P262" t="n">
        <v>0</v>
      </c>
      <c r="Q262" t="n">
        <v>0</v>
      </c>
      <c r="R262" t="n">
        <v>0</v>
      </c>
      <c r="S262" t="n">
        <v>0</v>
      </c>
      <c r="T262" t="n">
        <v>0</v>
      </c>
      <c r="U262" t="n">
        <v>0</v>
      </c>
      <c r="V2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2026-10-04T01:57:17Z</dcterms:created>
  <dcterms:modified xmlns:dcterms="http://purl.org/dc/terms/" xmlns:xsi="http://www.w3.org/2001/XMLSchema-instance" xsi:type="dcterms:W3CDTF">2026-10-04T01:57:17Z</dcterms:modified>
</cp:coreProperties>
</file>