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46045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46045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46045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46045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46045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46045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35334-2024</t>
        </is>
      </c>
      <c r="B8" s="1" t="n">
        <v>45530</v>
      </c>
      <c r="C8" s="1" t="n">
        <v>46045</v>
      </c>
      <c r="D8" t="inlineStr">
        <is>
          <t>VÄRMLANDS LÄN</t>
        </is>
      </c>
      <c r="E8" t="inlineStr">
        <is>
          <t>FORSHAGA</t>
        </is>
      </c>
      <c r="F8" t="inlineStr">
        <is>
          <t>Kommuner</t>
        </is>
      </c>
      <c r="G8" t="n">
        <v>3.2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Nattviol</t>
        </is>
      </c>
      <c r="S8">
        <f>HYPERLINK("https://klasma.github.io/Logging_1763/artfynd/A 35334-2024 artfynd.xlsx", "A 35334-2024")</f>
        <v/>
      </c>
      <c r="T8">
        <f>HYPERLINK("https://klasma.github.io/Logging_1763/kartor/A 35334-2024 karta.png", "A 35334-2024")</f>
        <v/>
      </c>
      <c r="V8">
        <f>HYPERLINK("https://klasma.github.io/Logging_1763/klagomål/A 35334-2024 FSC-klagomål.docx", "A 35334-2024")</f>
        <v/>
      </c>
      <c r="W8">
        <f>HYPERLINK("https://klasma.github.io/Logging_1763/klagomålsmail/A 35334-2024 FSC-klagomål mail.docx", "A 35334-2024")</f>
        <v/>
      </c>
      <c r="X8">
        <f>HYPERLINK("https://klasma.github.io/Logging_1763/tillsyn/A 35334-2024 tillsynsbegäran.docx", "A 35334-2024")</f>
        <v/>
      </c>
      <c r="Y8">
        <f>HYPERLINK("https://klasma.github.io/Logging_1763/tillsynsmail/A 35334-2024 tillsynsbegäran mail.docx", "A 35334-2024")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46045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46620-2024</t>
        </is>
      </c>
      <c r="B10" s="1" t="n">
        <v>45583</v>
      </c>
      <c r="C10" s="1" t="n">
        <v>46045</v>
      </c>
      <c r="D10" t="inlineStr">
        <is>
          <t>VÄRMLANDS LÄN</t>
        </is>
      </c>
      <c r="E10" t="inlineStr">
        <is>
          <t>FORSHAGA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HYPERLINK("https://klasma.github.io/Logging_1763/artfynd/A 46620-2024 artfynd.xlsx", "A 46620-2024")</f>
        <v/>
      </c>
      <c r="T10">
        <f>HYPERLINK("https://klasma.github.io/Logging_1763/kartor/A 46620-2024 karta.png", "A 46620-2024")</f>
        <v/>
      </c>
      <c r="V10">
        <f>HYPERLINK("https://klasma.github.io/Logging_1763/klagomål/A 46620-2024 FSC-klagomål.docx", "A 46620-2024")</f>
        <v/>
      </c>
      <c r="W10">
        <f>HYPERLINK("https://klasma.github.io/Logging_1763/klagomålsmail/A 46620-2024 FSC-klagomål mail.docx", "A 46620-2024")</f>
        <v/>
      </c>
      <c r="X10">
        <f>HYPERLINK("https://klasma.github.io/Logging_1763/tillsyn/A 46620-2024 tillsynsbegäran.docx", "A 46620-2024")</f>
        <v/>
      </c>
      <c r="Y10">
        <f>HYPERLINK("https://klasma.github.io/Logging_1763/tillsynsmail/A 46620-2024 tillsynsbegäran mail.docx", "A 46620-2024")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46045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46045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46045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72688-2021</t>
        </is>
      </c>
      <c r="B14" s="1" t="n">
        <v>44546.65472222222</v>
      </c>
      <c r="C14" s="1" t="n">
        <v>46045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4991-2021</t>
        </is>
      </c>
      <c r="B15" s="1" t="n">
        <v>44228</v>
      </c>
      <c r="C15" s="1" t="n">
        <v>46045</v>
      </c>
      <c r="D15" t="inlineStr">
        <is>
          <t>VÄRMLANDS LÄN</t>
        </is>
      </c>
      <c r="E15" t="inlineStr">
        <is>
          <t>FORSHAGA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39802-2021</t>
        </is>
      </c>
      <c r="B16" s="1" t="n">
        <v>44417</v>
      </c>
      <c r="C16" s="1" t="n">
        <v>46045</v>
      </c>
      <c r="D16" t="inlineStr">
        <is>
          <t>VÄRMLANDS LÄN</t>
        </is>
      </c>
      <c r="E16" t="inlineStr">
        <is>
          <t>FORSHAGA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72991-2021</t>
        </is>
      </c>
      <c r="B17" s="1" t="n">
        <v>44549.80984953704</v>
      </c>
      <c r="C17" s="1" t="n">
        <v>46045</v>
      </c>
      <c r="D17" t="inlineStr">
        <is>
          <t>VÄRMLANDS LÄN</t>
        </is>
      </c>
      <c r="E17" t="inlineStr">
        <is>
          <t>FORSHAGA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45742-2021</t>
        </is>
      </c>
      <c r="B18" s="1" t="n">
        <v>44441</v>
      </c>
      <c r="C18" s="1" t="n">
        <v>46045</v>
      </c>
      <c r="D18" t="inlineStr">
        <is>
          <t>VÄRMLANDS LÄN</t>
        </is>
      </c>
      <c r="E18" t="inlineStr">
        <is>
          <t>FORSHAGA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9349-2022</t>
        </is>
      </c>
      <c r="B19" s="1" t="n">
        <v>44616</v>
      </c>
      <c r="C19" s="1" t="n">
        <v>46045</v>
      </c>
      <c r="D19" t="inlineStr">
        <is>
          <t>VÄRMLANDS LÄN</t>
        </is>
      </c>
      <c r="E19" t="inlineStr">
        <is>
          <t>FORSHAGA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33951-2022</t>
        </is>
      </c>
      <c r="B20" s="1" t="n">
        <v>44790</v>
      </c>
      <c r="C20" s="1" t="n">
        <v>46045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22295-2021</t>
        </is>
      </c>
      <c r="B21" s="1" t="n">
        <v>44326.45363425926</v>
      </c>
      <c r="C21" s="1" t="n">
        <v>46045</v>
      </c>
      <c r="D21" t="inlineStr">
        <is>
          <t>VÄRMLANDS LÄN</t>
        </is>
      </c>
      <c r="E21" t="inlineStr">
        <is>
          <t>FORSHAGA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24092-2021</t>
        </is>
      </c>
      <c r="B22" s="1" t="n">
        <v>44336</v>
      </c>
      <c r="C22" s="1" t="n">
        <v>46045</v>
      </c>
      <c r="D22" t="inlineStr">
        <is>
          <t>VÄRMLANDS LÄN</t>
        </is>
      </c>
      <c r="E22" t="inlineStr">
        <is>
          <t>FORSHAGA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7828-2022</t>
        </is>
      </c>
      <c r="B23" s="1" t="n">
        <v>44608</v>
      </c>
      <c r="C23" s="1" t="n">
        <v>46045</v>
      </c>
      <c r="D23" t="inlineStr">
        <is>
          <t>VÄRMLANDS LÄN</t>
        </is>
      </c>
      <c r="E23" t="inlineStr">
        <is>
          <t>FORSHAGA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9271-2022</t>
        </is>
      </c>
      <c r="B24" s="1" t="n">
        <v>44616.43730324074</v>
      </c>
      <c r="C24" s="1" t="n">
        <v>46045</v>
      </c>
      <c r="D24" t="inlineStr">
        <is>
          <t>VÄRMLANDS LÄN</t>
        </is>
      </c>
      <c r="E24" t="inlineStr">
        <is>
          <t>FORSHAGA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20103-2021</t>
        </is>
      </c>
      <c r="B25" s="1" t="n">
        <v>44314.45032407407</v>
      </c>
      <c r="C25" s="1" t="n">
        <v>46045</v>
      </c>
      <c r="D25" t="inlineStr">
        <is>
          <t>VÄRMLANDS LÄN</t>
        </is>
      </c>
      <c r="E25" t="inlineStr">
        <is>
          <t>FORSHAGA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46045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46045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46045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67179-2021</t>
        </is>
      </c>
      <c r="B29" s="1" t="n">
        <v>44523.43979166666</v>
      </c>
      <c r="C29" s="1" t="n">
        <v>46045</v>
      </c>
      <c r="D29" t="inlineStr">
        <is>
          <t>VÄRMLANDS LÄN</t>
        </is>
      </c>
      <c r="E29" t="inlineStr">
        <is>
          <t>FORSHAGA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46045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5758-2022</t>
        </is>
      </c>
      <c r="B31" s="1" t="n">
        <v>44596</v>
      </c>
      <c r="C31" s="1" t="n">
        <v>46045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47436-2021</t>
        </is>
      </c>
      <c r="B32" s="1" t="n">
        <v>44447</v>
      </c>
      <c r="C32" s="1" t="n">
        <v>46045</v>
      </c>
      <c r="D32" t="inlineStr">
        <is>
          <t>VÄRMLANDS LÄN</t>
        </is>
      </c>
      <c r="E32" t="inlineStr">
        <is>
          <t>FORSHAGA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31251-2022</t>
        </is>
      </c>
      <c r="B33" s="1" t="n">
        <v>44771</v>
      </c>
      <c r="C33" s="1" t="n">
        <v>46045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10765-2022</t>
        </is>
      </c>
      <c r="B34" s="1" t="n">
        <v>44627.42550925926</v>
      </c>
      <c r="C34" s="1" t="n">
        <v>46045</v>
      </c>
      <c r="D34" t="inlineStr">
        <is>
          <t>VÄRMLANDS LÄN</t>
        </is>
      </c>
      <c r="E34" t="inlineStr">
        <is>
          <t>FORSHAGA</t>
        </is>
      </c>
      <c r="G34" t="n">
        <v>6.1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51296-2022</t>
        </is>
      </c>
      <c r="B35" s="1" t="n">
        <v>44868</v>
      </c>
      <c r="C35" s="1" t="n">
        <v>46045</v>
      </c>
      <c r="D35" t="inlineStr">
        <is>
          <t>VÄRMLANDS LÄN</t>
        </is>
      </c>
      <c r="E35" t="inlineStr">
        <is>
          <t>FORSHAGA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46045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29507-2022</t>
        </is>
      </c>
      <c r="B37" s="1" t="n">
        <v>44753</v>
      </c>
      <c r="C37" s="1" t="n">
        <v>46045</v>
      </c>
      <c r="D37" t="inlineStr">
        <is>
          <t>VÄRMLANDS LÄN</t>
        </is>
      </c>
      <c r="E37" t="inlineStr">
        <is>
          <t>FORSHAGA</t>
        </is>
      </c>
      <c r="F37" t="inlineStr">
        <is>
          <t>Kommuner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7830-2022</t>
        </is>
      </c>
      <c r="B38" s="1" t="n">
        <v>44608</v>
      </c>
      <c r="C38" s="1" t="n">
        <v>46045</v>
      </c>
      <c r="D38" t="inlineStr">
        <is>
          <t>VÄRMLANDS LÄN</t>
        </is>
      </c>
      <c r="E38" t="inlineStr">
        <is>
          <t>FORSHAGA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50060-2022</t>
        </is>
      </c>
      <c r="B39" s="1" t="n">
        <v>44865</v>
      </c>
      <c r="C39" s="1" t="n">
        <v>46045</v>
      </c>
      <c r="D39" t="inlineStr">
        <is>
          <t>VÄRMLANDS LÄN</t>
        </is>
      </c>
      <c r="E39" t="inlineStr">
        <is>
          <t>FORSHAGA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21295-2023</t>
        </is>
      </c>
      <c r="B40" s="1" t="n">
        <v>45062.65708333333</v>
      </c>
      <c r="C40" s="1" t="n">
        <v>46045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29520-2022</t>
        </is>
      </c>
      <c r="B41" s="1" t="n">
        <v>44753</v>
      </c>
      <c r="C41" s="1" t="n">
        <v>46045</v>
      </c>
      <c r="D41" t="inlineStr">
        <is>
          <t>VÄRMLANDS LÄN</t>
        </is>
      </c>
      <c r="E41" t="inlineStr">
        <is>
          <t>FORSHAGA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45736-2021</t>
        </is>
      </c>
      <c r="B42" s="1" t="n">
        <v>44441.41650462963</v>
      </c>
      <c r="C42" s="1" t="n">
        <v>46045</v>
      </c>
      <c r="D42" t="inlineStr">
        <is>
          <t>VÄRMLANDS LÄN</t>
        </is>
      </c>
      <c r="E42" t="inlineStr">
        <is>
          <t>FORSHAGA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45738-2021</t>
        </is>
      </c>
      <c r="B43" s="1" t="n">
        <v>44441</v>
      </c>
      <c r="C43" s="1" t="n">
        <v>46045</v>
      </c>
      <c r="D43" t="inlineStr">
        <is>
          <t>VÄRMLANDS LÄN</t>
        </is>
      </c>
      <c r="E43" t="inlineStr">
        <is>
          <t>FORSHAGA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26154-2022</t>
        </is>
      </c>
      <c r="B44" s="1" t="n">
        <v>44735</v>
      </c>
      <c r="C44" s="1" t="n">
        <v>46045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73265-2021</t>
        </is>
      </c>
      <c r="B45" s="1" t="n">
        <v>44550.83846064815</v>
      </c>
      <c r="C45" s="1" t="n">
        <v>46045</v>
      </c>
      <c r="D45" t="inlineStr">
        <is>
          <t>VÄRMLANDS LÄN</t>
        </is>
      </c>
      <c r="E45" t="inlineStr">
        <is>
          <t>FORSHAGA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23020-2022</t>
        </is>
      </c>
      <c r="B46" s="1" t="n">
        <v>44719.37579861111</v>
      </c>
      <c r="C46" s="1" t="n">
        <v>46045</v>
      </c>
      <c r="D46" t="inlineStr">
        <is>
          <t>VÄRMLANDS LÄN</t>
        </is>
      </c>
      <c r="E46" t="inlineStr">
        <is>
          <t>FORSHAGA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53913-2022</t>
        </is>
      </c>
      <c r="B47" s="1" t="n">
        <v>44880.86898148148</v>
      </c>
      <c r="C47" s="1" t="n">
        <v>46045</v>
      </c>
      <c r="D47" t="inlineStr">
        <is>
          <t>VÄRMLANDS LÄN</t>
        </is>
      </c>
      <c r="E47" t="inlineStr">
        <is>
          <t>FORSHAGA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12527-2021</t>
        </is>
      </c>
      <c r="B48" s="1" t="n">
        <v>44269</v>
      </c>
      <c r="C48" s="1" t="n">
        <v>46045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46701-2021</t>
        </is>
      </c>
      <c r="B49" s="1" t="n">
        <v>44445</v>
      </c>
      <c r="C49" s="1" t="n">
        <v>46045</v>
      </c>
      <c r="D49" t="inlineStr">
        <is>
          <t>VÄRMLANDS LÄN</t>
        </is>
      </c>
      <c r="E49" t="inlineStr">
        <is>
          <t>FORSHAGA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72240-2021</t>
        </is>
      </c>
      <c r="B50" s="1" t="n">
        <v>44544</v>
      </c>
      <c r="C50" s="1" t="n">
        <v>46045</v>
      </c>
      <c r="D50" t="inlineStr">
        <is>
          <t>VÄRMLANDS LÄN</t>
        </is>
      </c>
      <c r="E50" t="inlineStr">
        <is>
          <t>FORSHAGA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2834-2022</t>
        </is>
      </c>
      <c r="B51" s="1" t="n">
        <v>44581.43703703704</v>
      </c>
      <c r="C51" s="1" t="n">
        <v>46045</v>
      </c>
      <c r="D51" t="inlineStr">
        <is>
          <t>VÄRMLANDS LÄN</t>
        </is>
      </c>
      <c r="E51" t="inlineStr">
        <is>
          <t>FORSHAGA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66111-2021</t>
        </is>
      </c>
      <c r="B52" s="1" t="n">
        <v>44517</v>
      </c>
      <c r="C52" s="1" t="n">
        <v>46045</v>
      </c>
      <c r="D52" t="inlineStr">
        <is>
          <t>VÄRMLANDS LÄN</t>
        </is>
      </c>
      <c r="E52" t="inlineStr">
        <is>
          <t>FORSHAGA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46530-2023</t>
        </is>
      </c>
      <c r="B53" s="1" t="n">
        <v>45197.84850694444</v>
      </c>
      <c r="C53" s="1" t="n">
        <v>46045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13156-2021</t>
        </is>
      </c>
      <c r="B54" s="1" t="n">
        <v>44272</v>
      </c>
      <c r="C54" s="1" t="n">
        <v>46045</v>
      </c>
      <c r="D54" t="inlineStr">
        <is>
          <t>VÄRMLANDS LÄN</t>
        </is>
      </c>
      <c r="E54" t="inlineStr">
        <is>
          <t>FORSHAGA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7289-2022</t>
        </is>
      </c>
      <c r="B55" s="1" t="n">
        <v>44606</v>
      </c>
      <c r="C55" s="1" t="n">
        <v>46045</v>
      </c>
      <c r="D55" t="inlineStr">
        <is>
          <t>VÄRMLANDS LÄN</t>
        </is>
      </c>
      <c r="E55" t="inlineStr">
        <is>
          <t>FORSHAGA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33033-2022</t>
        </is>
      </c>
      <c r="B56" s="1" t="n">
        <v>44785.36472222222</v>
      </c>
      <c r="C56" s="1" t="n">
        <v>46045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54189-2021</t>
        </is>
      </c>
      <c r="B57" s="1" t="n">
        <v>44470</v>
      </c>
      <c r="C57" s="1" t="n">
        <v>46045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10996-2025</t>
        </is>
      </c>
      <c r="B58" s="1" t="n">
        <v>45723</v>
      </c>
      <c r="C58" s="1" t="n">
        <v>46045</v>
      </c>
      <c r="D58" t="inlineStr">
        <is>
          <t>VÄRMLANDS LÄN</t>
        </is>
      </c>
      <c r="E58" t="inlineStr">
        <is>
          <t>FORSHAGA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67198-2021</t>
        </is>
      </c>
      <c r="B59" s="1" t="n">
        <v>44523</v>
      </c>
      <c r="C59" s="1" t="n">
        <v>46045</v>
      </c>
      <c r="D59" t="inlineStr">
        <is>
          <t>VÄRMLANDS LÄN</t>
        </is>
      </c>
      <c r="E59" t="inlineStr">
        <is>
          <t>FORSHAGA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62802-2023</t>
        </is>
      </c>
      <c r="B60" s="1" t="n">
        <v>45271.80996527777</v>
      </c>
      <c r="C60" s="1" t="n">
        <v>46045</v>
      </c>
      <c r="D60" t="inlineStr">
        <is>
          <t>VÄRMLANDS LÄN</t>
        </is>
      </c>
      <c r="E60" t="inlineStr">
        <is>
          <t>FORSHAGA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60043-2022</t>
        </is>
      </c>
      <c r="B61" s="1" t="n">
        <v>44902</v>
      </c>
      <c r="C61" s="1" t="n">
        <v>46045</v>
      </c>
      <c r="D61" t="inlineStr">
        <is>
          <t>VÄRMLANDS LÄN</t>
        </is>
      </c>
      <c r="E61" t="inlineStr">
        <is>
          <t>FORSHAGA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15563-2022</t>
        </is>
      </c>
      <c r="B62" s="1" t="n">
        <v>44662</v>
      </c>
      <c r="C62" s="1" t="n">
        <v>46045</v>
      </c>
      <c r="D62" t="inlineStr">
        <is>
          <t>VÄRMLANDS LÄN</t>
        </is>
      </c>
      <c r="E62" t="inlineStr">
        <is>
          <t>FORSHAGA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35940-2024</t>
        </is>
      </c>
      <c r="B63" s="1" t="n">
        <v>45533</v>
      </c>
      <c r="C63" s="1" t="n">
        <v>46045</v>
      </c>
      <c r="D63" t="inlineStr">
        <is>
          <t>VÄRMLANDS LÄN</t>
        </is>
      </c>
      <c r="E63" t="inlineStr">
        <is>
          <t>FORSHAGA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26037-2023</t>
        </is>
      </c>
      <c r="B64" s="1" t="n">
        <v>45091</v>
      </c>
      <c r="C64" s="1" t="n">
        <v>46045</v>
      </c>
      <c r="D64" t="inlineStr">
        <is>
          <t>VÄRMLANDS LÄN</t>
        </is>
      </c>
      <c r="E64" t="inlineStr">
        <is>
          <t>FORSHAGA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56280-2023</t>
        </is>
      </c>
      <c r="B65" s="1" t="n">
        <v>45241</v>
      </c>
      <c r="C65" s="1" t="n">
        <v>46045</v>
      </c>
      <c r="D65" t="inlineStr">
        <is>
          <t>VÄRMLANDS LÄN</t>
        </is>
      </c>
      <c r="E65" t="inlineStr">
        <is>
          <t>FORSHAGA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6918-2025</t>
        </is>
      </c>
      <c r="B66" s="1" t="n">
        <v>45701.4422337963</v>
      </c>
      <c r="C66" s="1" t="n">
        <v>46045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71625-2021</t>
        </is>
      </c>
      <c r="B67" s="1" t="n">
        <v>44542</v>
      </c>
      <c r="C67" s="1" t="n">
        <v>46045</v>
      </c>
      <c r="D67" t="inlineStr">
        <is>
          <t>VÄRMLANDS LÄN</t>
        </is>
      </c>
      <c r="E67" t="inlineStr">
        <is>
          <t>FORSHAGA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58714-2021</t>
        </is>
      </c>
      <c r="B68" s="1" t="n">
        <v>44489.4774537037</v>
      </c>
      <c r="C68" s="1" t="n">
        <v>46045</v>
      </c>
      <c r="D68" t="inlineStr">
        <is>
          <t>VÄRMLANDS LÄN</t>
        </is>
      </c>
      <c r="E68" t="inlineStr">
        <is>
          <t>FORSHAGA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53074-2022</t>
        </is>
      </c>
      <c r="B69" s="1" t="n">
        <v>44876</v>
      </c>
      <c r="C69" s="1" t="n">
        <v>46045</v>
      </c>
      <c r="D69" t="inlineStr">
        <is>
          <t>VÄRMLANDS LÄN</t>
        </is>
      </c>
      <c r="E69" t="inlineStr">
        <is>
          <t>FORSHAGA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58121-2024</t>
        </is>
      </c>
      <c r="B70" s="1" t="n">
        <v>45632</v>
      </c>
      <c r="C70" s="1" t="n">
        <v>46045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9524-2024</t>
        </is>
      </c>
      <c r="B71" s="1" t="n">
        <v>45359</v>
      </c>
      <c r="C71" s="1" t="n">
        <v>46045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55835-2024</t>
        </is>
      </c>
      <c r="B72" s="1" t="n">
        <v>45623</v>
      </c>
      <c r="C72" s="1" t="n">
        <v>46045</v>
      </c>
      <c r="D72" t="inlineStr">
        <is>
          <t>VÄRMLANDS LÄN</t>
        </is>
      </c>
      <c r="E72" t="inlineStr">
        <is>
          <t>FORSHAGA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22295-2021</t>
        </is>
      </c>
      <c r="B73" s="1" t="n">
        <v>44326.45363425926</v>
      </c>
      <c r="C73" s="1" t="n">
        <v>46045</v>
      </c>
      <c r="D73" t="inlineStr">
        <is>
          <t>VÄRMLANDS LÄN</t>
        </is>
      </c>
      <c r="E73" t="inlineStr">
        <is>
          <t>FORSHAGA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60045-2022</t>
        </is>
      </c>
      <c r="B74" s="1" t="n">
        <v>44902</v>
      </c>
      <c r="C74" s="1" t="n">
        <v>46045</v>
      </c>
      <c r="D74" t="inlineStr">
        <is>
          <t>VÄRMLANDS LÄN</t>
        </is>
      </c>
      <c r="E74" t="inlineStr">
        <is>
          <t>FORSHAGA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56748-2022</t>
        </is>
      </c>
      <c r="B75" s="1" t="n">
        <v>44894</v>
      </c>
      <c r="C75" s="1" t="n">
        <v>46045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31980-2023</t>
        </is>
      </c>
      <c r="B76" s="1" t="n">
        <v>45119</v>
      </c>
      <c r="C76" s="1" t="n">
        <v>46045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35572-2023</t>
        </is>
      </c>
      <c r="B77" s="1" t="n">
        <v>45147</v>
      </c>
      <c r="C77" s="1" t="n">
        <v>46045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50092-2024</t>
        </is>
      </c>
      <c r="B78" s="1" t="n">
        <v>45600</v>
      </c>
      <c r="C78" s="1" t="n">
        <v>46045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28517-2024</t>
        </is>
      </c>
      <c r="B79" s="1" t="n">
        <v>45478.305</v>
      </c>
      <c r="C79" s="1" t="n">
        <v>46045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17117-2025</t>
        </is>
      </c>
      <c r="B80" s="1" t="n">
        <v>45755.68284722222</v>
      </c>
      <c r="C80" s="1" t="n">
        <v>46045</v>
      </c>
      <c r="D80" t="inlineStr">
        <is>
          <t>VÄRMLANDS LÄN</t>
        </is>
      </c>
      <c r="E80" t="inlineStr">
        <is>
          <t>FORSHAGA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18686-2024</t>
        </is>
      </c>
      <c r="B81" s="1" t="n">
        <v>45426.38695601852</v>
      </c>
      <c r="C81" s="1" t="n">
        <v>46045</v>
      </c>
      <c r="D81" t="inlineStr">
        <is>
          <t>VÄRMLANDS LÄN</t>
        </is>
      </c>
      <c r="E81" t="inlineStr">
        <is>
          <t>FORSHAGA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7919-2023</t>
        </is>
      </c>
      <c r="B82" s="1" t="n">
        <v>44973</v>
      </c>
      <c r="C82" s="1" t="n">
        <v>46045</v>
      </c>
      <c r="D82" t="inlineStr">
        <is>
          <t>VÄRMLANDS LÄN</t>
        </is>
      </c>
      <c r="E82" t="inlineStr">
        <is>
          <t>FORSHAGA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22407-2024</t>
        </is>
      </c>
      <c r="B83" s="1" t="n">
        <v>45446</v>
      </c>
      <c r="C83" s="1" t="n">
        <v>46045</v>
      </c>
      <c r="D83" t="inlineStr">
        <is>
          <t>VÄRMLANDS LÄN</t>
        </is>
      </c>
      <c r="E83" t="inlineStr">
        <is>
          <t>FORSHAGA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28242-2024</t>
        </is>
      </c>
      <c r="B84" s="1" t="n">
        <v>45477</v>
      </c>
      <c r="C84" s="1" t="n">
        <v>46045</v>
      </c>
      <c r="D84" t="inlineStr">
        <is>
          <t>VÄRMLANDS LÄN</t>
        </is>
      </c>
      <c r="E84" t="inlineStr">
        <is>
          <t>FORSHAGA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53585-2024</t>
        </is>
      </c>
      <c r="B85" s="1" t="n">
        <v>45614.66586805556</v>
      </c>
      <c r="C85" s="1" t="n">
        <v>46045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25094-2024</t>
        </is>
      </c>
      <c r="B86" s="1" t="n">
        <v>45462</v>
      </c>
      <c r="C86" s="1" t="n">
        <v>46045</v>
      </c>
      <c r="D86" t="inlineStr">
        <is>
          <t>VÄRMLANDS LÄN</t>
        </is>
      </c>
      <c r="E86" t="inlineStr">
        <is>
          <t>FORSHAGA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10383-2023</t>
        </is>
      </c>
      <c r="B87" s="1" t="n">
        <v>44987</v>
      </c>
      <c r="C87" s="1" t="n">
        <v>46045</v>
      </c>
      <c r="D87" t="inlineStr">
        <is>
          <t>VÄRMLANDS LÄN</t>
        </is>
      </c>
      <c r="E87" t="inlineStr">
        <is>
          <t>FORSHAGA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28271-2024</t>
        </is>
      </c>
      <c r="B88" s="1" t="n">
        <v>45477.4494675926</v>
      </c>
      <c r="C88" s="1" t="n">
        <v>46045</v>
      </c>
      <c r="D88" t="inlineStr">
        <is>
          <t>VÄRMLANDS LÄN</t>
        </is>
      </c>
      <c r="E88" t="inlineStr">
        <is>
          <t>FORSHAGA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2812-2023</t>
        </is>
      </c>
      <c r="B89" s="1" t="n">
        <v>44944</v>
      </c>
      <c r="C89" s="1" t="n">
        <v>46045</v>
      </c>
      <c r="D89" t="inlineStr">
        <is>
          <t>VÄRMLANDS LÄN</t>
        </is>
      </c>
      <c r="E89" t="inlineStr">
        <is>
          <t>FORSHAGA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67617-2021</t>
        </is>
      </c>
      <c r="B90" s="1" t="n">
        <v>44524</v>
      </c>
      <c r="C90" s="1" t="n">
        <v>46045</v>
      </c>
      <c r="D90" t="inlineStr">
        <is>
          <t>VÄRMLANDS LÄN</t>
        </is>
      </c>
      <c r="E90" t="inlineStr">
        <is>
          <t>FORSHAGA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46300-2022</t>
        </is>
      </c>
      <c r="B91" s="1" t="n">
        <v>44847.77737268519</v>
      </c>
      <c r="C91" s="1" t="n">
        <v>46045</v>
      </c>
      <c r="D91" t="inlineStr">
        <is>
          <t>VÄRMLANDS LÄN</t>
        </is>
      </c>
      <c r="E91" t="inlineStr">
        <is>
          <t>FORSHAGA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35573-2023</t>
        </is>
      </c>
      <c r="B92" s="1" t="n">
        <v>45147</v>
      </c>
      <c r="C92" s="1" t="n">
        <v>46045</v>
      </c>
      <c r="D92" t="inlineStr">
        <is>
          <t>VÄRMLANDS LÄN</t>
        </is>
      </c>
      <c r="E92" t="inlineStr">
        <is>
          <t>FORSHAGA</t>
        </is>
      </c>
      <c r="F92" t="inlineStr">
        <is>
          <t>Kommuner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35335-2024</t>
        </is>
      </c>
      <c r="B93" s="1" t="n">
        <v>45530</v>
      </c>
      <c r="C93" s="1" t="n">
        <v>46045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39213-2023</t>
        </is>
      </c>
      <c r="B94" s="1" t="n">
        <v>45166</v>
      </c>
      <c r="C94" s="1" t="n">
        <v>46045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40080-2025</t>
        </is>
      </c>
      <c r="B95" s="1" t="n">
        <v>45894</v>
      </c>
      <c r="C95" s="1" t="n">
        <v>46045</v>
      </c>
      <c r="D95" t="inlineStr">
        <is>
          <t>VÄRMLANDS LÄN</t>
        </is>
      </c>
      <c r="E95" t="inlineStr">
        <is>
          <t>FORSHAGA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63318-2023</t>
        </is>
      </c>
      <c r="B96" s="1" t="n">
        <v>45274</v>
      </c>
      <c r="C96" s="1" t="n">
        <v>46045</v>
      </c>
      <c r="D96" t="inlineStr">
        <is>
          <t>VÄRMLANDS LÄN</t>
        </is>
      </c>
      <c r="E96" t="inlineStr">
        <is>
          <t>FORSHAGA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67321-2021</t>
        </is>
      </c>
      <c r="B97" s="1" t="n">
        <v>44523</v>
      </c>
      <c r="C97" s="1" t="n">
        <v>46045</v>
      </c>
      <c r="D97" t="inlineStr">
        <is>
          <t>VÄRMLANDS LÄN</t>
        </is>
      </c>
      <c r="E97" t="inlineStr">
        <is>
          <t>FORSHAGA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39748-2025</t>
        </is>
      </c>
      <c r="B98" s="1" t="n">
        <v>45891</v>
      </c>
      <c r="C98" s="1" t="n">
        <v>46045</v>
      </c>
      <c r="D98" t="inlineStr">
        <is>
          <t>VÄRMLANDS LÄN</t>
        </is>
      </c>
      <c r="E98" t="inlineStr">
        <is>
          <t>FORSHAGA</t>
        </is>
      </c>
      <c r="F98" t="inlineStr">
        <is>
          <t>Kyrkan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29188-2025</t>
        </is>
      </c>
      <c r="B99" s="1" t="n">
        <v>45821</v>
      </c>
      <c r="C99" s="1" t="n">
        <v>46045</v>
      </c>
      <c r="D99" t="inlineStr">
        <is>
          <t>VÄRMLANDS LÄN</t>
        </is>
      </c>
      <c r="E99" t="inlineStr">
        <is>
          <t>FORSHAGA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40595-2025</t>
        </is>
      </c>
      <c r="B100" s="1" t="n">
        <v>45896.54966435185</v>
      </c>
      <c r="C100" s="1" t="n">
        <v>46045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30853-2025</t>
        </is>
      </c>
      <c r="B101" s="1" t="n">
        <v>45831</v>
      </c>
      <c r="C101" s="1" t="n">
        <v>46045</v>
      </c>
      <c r="D101" t="inlineStr">
        <is>
          <t>VÄRMLANDS LÄN</t>
        </is>
      </c>
      <c r="E101" t="inlineStr">
        <is>
          <t>FORSHAGA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32795-2023</t>
        </is>
      </c>
      <c r="B102" s="1" t="n">
        <v>45124</v>
      </c>
      <c r="C102" s="1" t="n">
        <v>46045</v>
      </c>
      <c r="D102" t="inlineStr">
        <is>
          <t>VÄRMLANDS LÄN</t>
        </is>
      </c>
      <c r="E102" t="inlineStr">
        <is>
          <t>FORSHAGA</t>
        </is>
      </c>
      <c r="F102" t="inlineStr">
        <is>
          <t>Kommuner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23117-2023</t>
        </is>
      </c>
      <c r="B103" s="1" t="n">
        <v>45075.45097222222</v>
      </c>
      <c r="C103" s="1" t="n">
        <v>46045</v>
      </c>
      <c r="D103" t="inlineStr">
        <is>
          <t>VÄRMLANDS LÄN</t>
        </is>
      </c>
      <c r="E103" t="inlineStr">
        <is>
          <t>FORSHAGA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27995-2024</t>
        </is>
      </c>
      <c r="B104" s="1" t="n">
        <v>45476</v>
      </c>
      <c r="C104" s="1" t="n">
        <v>46045</v>
      </c>
      <c r="D104" t="inlineStr">
        <is>
          <t>VÄRMLANDS LÄN</t>
        </is>
      </c>
      <c r="E104" t="inlineStr">
        <is>
          <t>FORSHAGA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70214-2021</t>
        </is>
      </c>
      <c r="B105" s="1" t="n">
        <v>44535</v>
      </c>
      <c r="C105" s="1" t="n">
        <v>46045</v>
      </c>
      <c r="D105" t="inlineStr">
        <is>
          <t>VÄRMLANDS LÄN</t>
        </is>
      </c>
      <c r="E105" t="inlineStr">
        <is>
          <t>FORSHAGA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32822-2023</t>
        </is>
      </c>
      <c r="B106" s="1" t="n">
        <v>45124.57144675926</v>
      </c>
      <c r="C106" s="1" t="n">
        <v>46045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32830-2023</t>
        </is>
      </c>
      <c r="B107" s="1" t="n">
        <v>45124.58128472222</v>
      </c>
      <c r="C107" s="1" t="n">
        <v>46045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29427-2024</t>
        </is>
      </c>
      <c r="B108" s="1" t="n">
        <v>45483.72967592593</v>
      </c>
      <c r="C108" s="1" t="n">
        <v>46045</v>
      </c>
      <c r="D108" t="inlineStr">
        <is>
          <t>VÄRMLANDS LÄN</t>
        </is>
      </c>
      <c r="E108" t="inlineStr">
        <is>
          <t>FORSHAGA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40744-2025</t>
        </is>
      </c>
      <c r="B109" s="1" t="n">
        <v>45897</v>
      </c>
      <c r="C109" s="1" t="n">
        <v>46045</v>
      </c>
      <c r="D109" t="inlineStr">
        <is>
          <t>VÄRMLANDS LÄN</t>
        </is>
      </c>
      <c r="E109" t="inlineStr">
        <is>
          <t>FORSHAGA</t>
        </is>
      </c>
      <c r="F109" t="inlineStr">
        <is>
          <t>Kyrkan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34861-2022</t>
        </is>
      </c>
      <c r="B110" s="1" t="n">
        <v>44796</v>
      </c>
      <c r="C110" s="1" t="n">
        <v>46045</v>
      </c>
      <c r="D110" t="inlineStr">
        <is>
          <t>VÄRMLANDS LÄN</t>
        </is>
      </c>
      <c r="E110" t="inlineStr">
        <is>
          <t>FORSHAGA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18229-2025</t>
        </is>
      </c>
      <c r="B111" s="1" t="n">
        <v>45761.85296296296</v>
      </c>
      <c r="C111" s="1" t="n">
        <v>46045</v>
      </c>
      <c r="D111" t="inlineStr">
        <is>
          <t>VÄRMLANDS LÄN</t>
        </is>
      </c>
      <c r="E111" t="inlineStr">
        <is>
          <t>FORSHAGA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34849-2024</t>
        </is>
      </c>
      <c r="B112" s="1" t="n">
        <v>45527</v>
      </c>
      <c r="C112" s="1" t="n">
        <v>46045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1409-2025</t>
        </is>
      </c>
      <c r="B113" s="1" t="n">
        <v>45667</v>
      </c>
      <c r="C113" s="1" t="n">
        <v>46045</v>
      </c>
      <c r="D113" t="inlineStr">
        <is>
          <t>VÄRMLANDS LÄN</t>
        </is>
      </c>
      <c r="E113" t="inlineStr">
        <is>
          <t>FORSHAGA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48647-2024</t>
        </is>
      </c>
      <c r="B114" s="1" t="n">
        <v>45593</v>
      </c>
      <c r="C114" s="1" t="n">
        <v>46045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15553-2022</t>
        </is>
      </c>
      <c r="B115" s="1" t="n">
        <v>44662</v>
      </c>
      <c r="C115" s="1" t="n">
        <v>46045</v>
      </c>
      <c r="D115" t="inlineStr">
        <is>
          <t>VÄRMLANDS LÄN</t>
        </is>
      </c>
      <c r="E115" t="inlineStr">
        <is>
          <t>FORSHAGA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11196-2024</t>
        </is>
      </c>
      <c r="B116" s="1" t="n">
        <v>45371.55340277778</v>
      </c>
      <c r="C116" s="1" t="n">
        <v>46045</v>
      </c>
      <c r="D116" t="inlineStr">
        <is>
          <t>VÄRMLANDS LÄN</t>
        </is>
      </c>
      <c r="E116" t="inlineStr">
        <is>
          <t>FORSHAGA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42441-2025</t>
        </is>
      </c>
      <c r="B117" s="1" t="n">
        <v>45905</v>
      </c>
      <c r="C117" s="1" t="n">
        <v>46045</v>
      </c>
      <c r="D117" t="inlineStr">
        <is>
          <t>VÄRMLANDS LÄN</t>
        </is>
      </c>
      <c r="E117" t="inlineStr">
        <is>
          <t>FORSHAGA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6118-2024</t>
        </is>
      </c>
      <c r="B118" s="1" t="n">
        <v>45337</v>
      </c>
      <c r="C118" s="1" t="n">
        <v>46045</v>
      </c>
      <c r="D118" t="inlineStr">
        <is>
          <t>VÄRMLANDS LÄN</t>
        </is>
      </c>
      <c r="E118" t="inlineStr">
        <is>
          <t>FORSHAGA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22623-2025</t>
        </is>
      </c>
      <c r="B119" s="1" t="n">
        <v>45789</v>
      </c>
      <c r="C119" s="1" t="n">
        <v>46045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35855-2023</t>
        </is>
      </c>
      <c r="B120" s="1" t="n">
        <v>45148</v>
      </c>
      <c r="C120" s="1" t="n">
        <v>46045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22582-2024</t>
        </is>
      </c>
      <c r="B121" s="1" t="n">
        <v>45447</v>
      </c>
      <c r="C121" s="1" t="n">
        <v>46045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22742-2025</t>
        </is>
      </c>
      <c r="B122" s="1" t="n">
        <v>45789</v>
      </c>
      <c r="C122" s="1" t="n">
        <v>46045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35831-2023</t>
        </is>
      </c>
      <c r="B123" s="1" t="n">
        <v>45148</v>
      </c>
      <c r="C123" s="1" t="n">
        <v>46045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35863-2023</t>
        </is>
      </c>
      <c r="B124" s="1" t="n">
        <v>45148</v>
      </c>
      <c r="C124" s="1" t="n">
        <v>46045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13198-2024</t>
        </is>
      </c>
      <c r="B125" s="1" t="n">
        <v>45386.48452546296</v>
      </c>
      <c r="C125" s="1" t="n">
        <v>46045</v>
      </c>
      <c r="D125" t="inlineStr">
        <is>
          <t>VÄRMLANDS LÄN</t>
        </is>
      </c>
      <c r="E125" t="inlineStr">
        <is>
          <t>FORSHAGA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10960-2023</t>
        </is>
      </c>
      <c r="B126" s="1" t="n">
        <v>44991.57304398148</v>
      </c>
      <c r="C126" s="1" t="n">
        <v>46045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42572-2025</t>
        </is>
      </c>
      <c r="B127" s="1" t="n">
        <v>45905</v>
      </c>
      <c r="C127" s="1" t="n">
        <v>46045</v>
      </c>
      <c r="D127" t="inlineStr">
        <is>
          <t>VÄRMLANDS LÄN</t>
        </is>
      </c>
      <c r="E127" t="inlineStr">
        <is>
          <t>FORSHAGA</t>
        </is>
      </c>
      <c r="G127" t="n">
        <v>12.5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58492-2024</t>
        </is>
      </c>
      <c r="B128" s="1" t="n">
        <v>45635</v>
      </c>
      <c r="C128" s="1" t="n">
        <v>46045</v>
      </c>
      <c r="D128" t="inlineStr">
        <is>
          <t>VÄRMLANDS LÄN</t>
        </is>
      </c>
      <c r="E128" t="inlineStr">
        <is>
          <t>FORSHAGA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50635-2023</t>
        </is>
      </c>
      <c r="B129" s="1" t="n">
        <v>45217.46574074074</v>
      </c>
      <c r="C129" s="1" t="n">
        <v>46045</v>
      </c>
      <c r="D129" t="inlineStr">
        <is>
          <t>VÄRMLANDS LÄN</t>
        </is>
      </c>
      <c r="E129" t="inlineStr">
        <is>
          <t>FORSHAGA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10989-2025</t>
        </is>
      </c>
      <c r="B130" s="1" t="n">
        <v>45723</v>
      </c>
      <c r="C130" s="1" t="n">
        <v>46045</v>
      </c>
      <c r="D130" t="inlineStr">
        <is>
          <t>VÄRMLANDS LÄN</t>
        </is>
      </c>
      <c r="E130" t="inlineStr">
        <is>
          <t>FORSHAGA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65062-2023</t>
        </is>
      </c>
      <c r="B131" s="1" t="n">
        <v>45287</v>
      </c>
      <c r="C131" s="1" t="n">
        <v>46045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65915-2021</t>
        </is>
      </c>
      <c r="B132" s="1" t="n">
        <v>44517</v>
      </c>
      <c r="C132" s="1" t="n">
        <v>46045</v>
      </c>
      <c r="D132" t="inlineStr">
        <is>
          <t>VÄRMLANDS LÄN</t>
        </is>
      </c>
      <c r="E132" t="inlineStr">
        <is>
          <t>FORSHAGA</t>
        </is>
      </c>
      <c r="G132" t="n">
        <v>17.2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62922-2023</t>
        </is>
      </c>
      <c r="B133" s="1" t="n">
        <v>45272</v>
      </c>
      <c r="C133" s="1" t="n">
        <v>46045</v>
      </c>
      <c r="D133" t="inlineStr">
        <is>
          <t>VÄRMLANDS LÄN</t>
        </is>
      </c>
      <c r="E133" t="inlineStr">
        <is>
          <t>FORSHAGA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34886-2024</t>
        </is>
      </c>
      <c r="B134" s="1" t="n">
        <v>45527</v>
      </c>
      <c r="C134" s="1" t="n">
        <v>46045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21745-2024</t>
        </is>
      </c>
      <c r="B135" s="1" t="n">
        <v>45442</v>
      </c>
      <c r="C135" s="1" t="n">
        <v>46045</v>
      </c>
      <c r="D135" t="inlineStr">
        <is>
          <t>VÄRMLANDS LÄN</t>
        </is>
      </c>
      <c r="E135" t="inlineStr">
        <is>
          <t>FORSHAGA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28327-2022</t>
        </is>
      </c>
      <c r="B136" s="1" t="n">
        <v>44747</v>
      </c>
      <c r="C136" s="1" t="n">
        <v>46045</v>
      </c>
      <c r="D136" t="inlineStr">
        <is>
          <t>VÄRMLANDS LÄN</t>
        </is>
      </c>
      <c r="E136" t="inlineStr">
        <is>
          <t>FORSHAGA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15663-2024</t>
        </is>
      </c>
      <c r="B137" s="1" t="n">
        <v>45404</v>
      </c>
      <c r="C137" s="1" t="n">
        <v>46045</v>
      </c>
      <c r="D137" t="inlineStr">
        <is>
          <t>VÄRMLANDS LÄN</t>
        </is>
      </c>
      <c r="E137" t="inlineStr">
        <is>
          <t>FORSHAGA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15149-2025</t>
        </is>
      </c>
      <c r="B138" s="1" t="n">
        <v>45744</v>
      </c>
      <c r="C138" s="1" t="n">
        <v>46045</v>
      </c>
      <c r="D138" t="inlineStr">
        <is>
          <t>VÄRMLANDS LÄN</t>
        </is>
      </c>
      <c r="E138" t="inlineStr">
        <is>
          <t>FORSHAGA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9693-2025</t>
        </is>
      </c>
      <c r="B139" s="1" t="n">
        <v>45716</v>
      </c>
      <c r="C139" s="1" t="n">
        <v>46045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30859-2024</t>
        </is>
      </c>
      <c r="B140" s="1" t="n">
        <v>45497</v>
      </c>
      <c r="C140" s="1" t="n">
        <v>46045</v>
      </c>
      <c r="D140" t="inlineStr">
        <is>
          <t>VÄRMLANDS LÄN</t>
        </is>
      </c>
      <c r="E140" t="inlineStr">
        <is>
          <t>FORSHAGA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53706-2022</t>
        </is>
      </c>
      <c r="B141" s="1" t="n">
        <v>44880</v>
      </c>
      <c r="C141" s="1" t="n">
        <v>46045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17.7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58114-2024</t>
        </is>
      </c>
      <c r="B142" s="1" t="n">
        <v>45632</v>
      </c>
      <c r="C142" s="1" t="n">
        <v>46045</v>
      </c>
      <c r="D142" t="inlineStr">
        <is>
          <t>VÄRMLANDS LÄN</t>
        </is>
      </c>
      <c r="E142" t="inlineStr">
        <is>
          <t>FORSHAGA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33222-2023</t>
        </is>
      </c>
      <c r="B143" s="1" t="n">
        <v>45127</v>
      </c>
      <c r="C143" s="1" t="n">
        <v>46045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33229-2023</t>
        </is>
      </c>
      <c r="B144" s="1" t="n">
        <v>45127</v>
      </c>
      <c r="C144" s="1" t="n">
        <v>46045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6947-2025</t>
        </is>
      </c>
      <c r="B145" s="1" t="n">
        <v>45701</v>
      </c>
      <c r="C145" s="1" t="n">
        <v>46045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42573-2025</t>
        </is>
      </c>
      <c r="B146" s="1" t="n">
        <v>45905</v>
      </c>
      <c r="C146" s="1" t="n">
        <v>46045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46015-2025</t>
        </is>
      </c>
      <c r="B147" s="1" t="n">
        <v>45924</v>
      </c>
      <c r="C147" s="1" t="n">
        <v>46045</v>
      </c>
      <c r="D147" t="inlineStr">
        <is>
          <t>VÄRMLANDS LÄN</t>
        </is>
      </c>
      <c r="E147" t="inlineStr">
        <is>
          <t>FORSHAGA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50367-2024</t>
        </is>
      </c>
      <c r="B148" s="1" t="n">
        <v>45600.88394675926</v>
      </c>
      <c r="C148" s="1" t="n">
        <v>46045</v>
      </c>
      <c r="D148" t="inlineStr">
        <is>
          <t>VÄRMLANDS LÄN</t>
        </is>
      </c>
      <c r="E148" t="inlineStr">
        <is>
          <t>FORSHAGA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46740-2025</t>
        </is>
      </c>
      <c r="B149" s="1" t="n">
        <v>45926.60765046296</v>
      </c>
      <c r="C149" s="1" t="n">
        <v>46045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46767-2025</t>
        </is>
      </c>
      <c r="B150" s="1" t="n">
        <v>45926.62878472222</v>
      </c>
      <c r="C150" s="1" t="n">
        <v>46045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46868-2025</t>
        </is>
      </c>
      <c r="B151" s="1" t="n">
        <v>45929.33350694444</v>
      </c>
      <c r="C151" s="1" t="n">
        <v>46045</v>
      </c>
      <c r="D151" t="inlineStr">
        <is>
          <t>VÄRMLANDS LÄN</t>
        </is>
      </c>
      <c r="E151" t="inlineStr">
        <is>
          <t>FORSHAGA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14988-2024</t>
        </is>
      </c>
      <c r="B152" s="1" t="n">
        <v>45399</v>
      </c>
      <c r="C152" s="1" t="n">
        <v>46045</v>
      </c>
      <c r="D152" t="inlineStr">
        <is>
          <t>VÄRMLANDS LÄN</t>
        </is>
      </c>
      <c r="E152" t="inlineStr">
        <is>
          <t>FORSHAGA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21836-2025</t>
        </is>
      </c>
      <c r="B153" s="1" t="n">
        <v>45784.31782407407</v>
      </c>
      <c r="C153" s="1" t="n">
        <v>46045</v>
      </c>
      <c r="D153" t="inlineStr">
        <is>
          <t>VÄRMLANDS LÄN</t>
        </is>
      </c>
      <c r="E153" t="inlineStr">
        <is>
          <t>FORSHAGA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47893-2025</t>
        </is>
      </c>
      <c r="B154" s="1" t="n">
        <v>45932</v>
      </c>
      <c r="C154" s="1" t="n">
        <v>46045</v>
      </c>
      <c r="D154" t="inlineStr">
        <is>
          <t>VÄRMLANDS LÄN</t>
        </is>
      </c>
      <c r="E154" t="inlineStr">
        <is>
          <t>FORSHAGA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35336-2024</t>
        </is>
      </c>
      <c r="B155" s="1" t="n">
        <v>45530</v>
      </c>
      <c r="C155" s="1" t="n">
        <v>46045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47734-2025</t>
        </is>
      </c>
      <c r="B156" s="1" t="n">
        <v>45931.63662037037</v>
      </c>
      <c r="C156" s="1" t="n">
        <v>46045</v>
      </c>
      <c r="D156" t="inlineStr">
        <is>
          <t>VÄRMLANDS LÄN</t>
        </is>
      </c>
      <c r="E156" t="inlineStr">
        <is>
          <t>FORSHAGA</t>
        </is>
      </c>
      <c r="F156" t="inlineStr">
        <is>
          <t>Kommuner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47917-2025</t>
        </is>
      </c>
      <c r="B157" s="1" t="n">
        <v>45932.52096064815</v>
      </c>
      <c r="C157" s="1" t="n">
        <v>46045</v>
      </c>
      <c r="D157" t="inlineStr">
        <is>
          <t>VÄRMLANDS LÄN</t>
        </is>
      </c>
      <c r="E157" t="inlineStr">
        <is>
          <t>FORSHAGA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58688-2023</t>
        </is>
      </c>
      <c r="B158" s="1" t="n">
        <v>45251</v>
      </c>
      <c r="C158" s="1" t="n">
        <v>46045</v>
      </c>
      <c r="D158" t="inlineStr">
        <is>
          <t>VÄRMLANDS LÄN</t>
        </is>
      </c>
      <c r="E158" t="inlineStr">
        <is>
          <t>FORSHAGA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47940-2025</t>
        </is>
      </c>
      <c r="B159" s="1" t="n">
        <v>45932</v>
      </c>
      <c r="C159" s="1" t="n">
        <v>46045</v>
      </c>
      <c r="D159" t="inlineStr">
        <is>
          <t>VÄRMLANDS LÄN</t>
        </is>
      </c>
      <c r="E159" t="inlineStr">
        <is>
          <t>FORSHAGA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14382-2023</t>
        </is>
      </c>
      <c r="B160" s="1" t="n">
        <v>45012</v>
      </c>
      <c r="C160" s="1" t="n">
        <v>46045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61463-2022</t>
        </is>
      </c>
      <c r="B161" s="1" t="n">
        <v>44916</v>
      </c>
      <c r="C161" s="1" t="n">
        <v>46045</v>
      </c>
      <c r="D161" t="inlineStr">
        <is>
          <t>VÄRMLANDS LÄN</t>
        </is>
      </c>
      <c r="E161" t="inlineStr">
        <is>
          <t>FORSHAGA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56928-2025</t>
        </is>
      </c>
      <c r="B162" s="1" t="n">
        <v>45978.60586805556</v>
      </c>
      <c r="C162" s="1" t="n">
        <v>46045</v>
      </c>
      <c r="D162" t="inlineStr">
        <is>
          <t>VÄRMLANDS LÄN</t>
        </is>
      </c>
      <c r="E162" t="inlineStr">
        <is>
          <t>FORSHAGA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7299-2023</t>
        </is>
      </c>
      <c r="B163" s="1" t="n">
        <v>44970</v>
      </c>
      <c r="C163" s="1" t="n">
        <v>46045</v>
      </c>
      <c r="D163" t="inlineStr">
        <is>
          <t>VÄRMLANDS LÄN</t>
        </is>
      </c>
      <c r="E163" t="inlineStr">
        <is>
          <t>FORSHAGA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48869-2025</t>
        </is>
      </c>
      <c r="B164" s="1" t="n">
        <v>45937.44954861111</v>
      </c>
      <c r="C164" s="1" t="n">
        <v>46045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49123-2025</t>
        </is>
      </c>
      <c r="B165" s="1" t="n">
        <v>45937.85078703704</v>
      </c>
      <c r="C165" s="1" t="n">
        <v>46045</v>
      </c>
      <c r="D165" t="inlineStr">
        <is>
          <t>VÄRMLANDS LÄN</t>
        </is>
      </c>
      <c r="E165" t="inlineStr">
        <is>
          <t>FORSHAGA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22609-2025</t>
        </is>
      </c>
      <c r="B166" s="1" t="n">
        <v>45789</v>
      </c>
      <c r="C166" s="1" t="n">
        <v>46045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22586-2025</t>
        </is>
      </c>
      <c r="B167" s="1" t="n">
        <v>45789</v>
      </c>
      <c r="C167" s="1" t="n">
        <v>46045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29852-2022</t>
        </is>
      </c>
      <c r="B168" s="1" t="n">
        <v>44756.37423611111</v>
      </c>
      <c r="C168" s="1" t="n">
        <v>46045</v>
      </c>
      <c r="D168" t="inlineStr">
        <is>
          <t>VÄRMLANDS LÄN</t>
        </is>
      </c>
      <c r="E168" t="inlineStr">
        <is>
          <t>FORSHAGA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22614-2025</t>
        </is>
      </c>
      <c r="B169" s="1" t="n">
        <v>45789</v>
      </c>
      <c r="C169" s="1" t="n">
        <v>46045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22619-2025</t>
        </is>
      </c>
      <c r="B170" s="1" t="n">
        <v>45789</v>
      </c>
      <c r="C170" s="1" t="n">
        <v>46045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13208-2023</t>
        </is>
      </c>
      <c r="B171" s="1" t="n">
        <v>45002</v>
      </c>
      <c r="C171" s="1" t="n">
        <v>46045</v>
      </c>
      <c r="D171" t="inlineStr">
        <is>
          <t>VÄRMLANDS LÄN</t>
        </is>
      </c>
      <c r="E171" t="inlineStr">
        <is>
          <t>FORSHAGA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8952-2024</t>
        </is>
      </c>
      <c r="B172" s="1" t="n">
        <v>45355</v>
      </c>
      <c r="C172" s="1" t="n">
        <v>46045</v>
      </c>
      <c r="D172" t="inlineStr">
        <is>
          <t>VÄRMLANDS LÄN</t>
        </is>
      </c>
      <c r="E172" t="inlineStr">
        <is>
          <t>FORSHAGA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51383-2025</t>
        </is>
      </c>
      <c r="B173" s="1" t="n">
        <v>45950</v>
      </c>
      <c r="C173" s="1" t="n">
        <v>46045</v>
      </c>
      <c r="D173" t="inlineStr">
        <is>
          <t>VÄRMLANDS LÄN</t>
        </is>
      </c>
      <c r="E173" t="inlineStr">
        <is>
          <t>FORSHAGA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23733-2025</t>
        </is>
      </c>
      <c r="B174" s="1" t="n">
        <v>45793</v>
      </c>
      <c r="C174" s="1" t="n">
        <v>46045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45751-2021</t>
        </is>
      </c>
      <c r="B175" s="1" t="n">
        <v>44441</v>
      </c>
      <c r="C175" s="1" t="n">
        <v>46045</v>
      </c>
      <c r="D175" t="inlineStr">
        <is>
          <t>VÄRMLANDS LÄN</t>
        </is>
      </c>
      <c r="E175" t="inlineStr">
        <is>
          <t>FORSHAGA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51123-2025</t>
        </is>
      </c>
      <c r="B176" s="1" t="n">
        <v>45947.54222222222</v>
      </c>
      <c r="C176" s="1" t="n">
        <v>46045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16885-2025</t>
        </is>
      </c>
      <c r="B177" s="1" t="n">
        <v>45755.30469907408</v>
      </c>
      <c r="C177" s="1" t="n">
        <v>46045</v>
      </c>
      <c r="D177" t="inlineStr">
        <is>
          <t>VÄRMLANDS LÄN</t>
        </is>
      </c>
      <c r="E177" t="inlineStr">
        <is>
          <t>FORSHAGA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51848-2025</t>
        </is>
      </c>
      <c r="B178" s="1" t="n">
        <v>45952.35089120371</v>
      </c>
      <c r="C178" s="1" t="n">
        <v>46045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18811-2025</t>
        </is>
      </c>
      <c r="B179" s="1" t="n">
        <v>45764.3621875</v>
      </c>
      <c r="C179" s="1" t="n">
        <v>46045</v>
      </c>
      <c r="D179" t="inlineStr">
        <is>
          <t>VÄRMLANDS LÄN</t>
        </is>
      </c>
      <c r="E179" t="inlineStr">
        <is>
          <t>FORSHAGA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25462-2025</t>
        </is>
      </c>
      <c r="B180" s="1" t="n">
        <v>45802.44046296296</v>
      </c>
      <c r="C180" s="1" t="n">
        <v>46045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53291-2025</t>
        </is>
      </c>
      <c r="B181" s="1" t="n">
        <v>45958.81872685185</v>
      </c>
      <c r="C181" s="1" t="n">
        <v>46045</v>
      </c>
      <c r="D181" t="inlineStr">
        <is>
          <t>VÄRMLANDS LÄN</t>
        </is>
      </c>
      <c r="E181" t="inlineStr">
        <is>
          <t>FORSHAGA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53678-2025</t>
        </is>
      </c>
      <c r="B182" s="1" t="n">
        <v>45960.5640162037</v>
      </c>
      <c r="C182" s="1" t="n">
        <v>46045</v>
      </c>
      <c r="D182" t="inlineStr">
        <is>
          <t>VÄRMLANDS LÄN</t>
        </is>
      </c>
      <c r="E182" t="inlineStr">
        <is>
          <t>FORSHAGA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11765-2025</t>
        </is>
      </c>
      <c r="B183" s="1" t="n">
        <v>45727.6646412037</v>
      </c>
      <c r="C183" s="1" t="n">
        <v>46045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50055-2024</t>
        </is>
      </c>
      <c r="B184" s="1" t="n">
        <v>45600</v>
      </c>
      <c r="C184" s="1" t="n">
        <v>46045</v>
      </c>
      <c r="D184" t="inlineStr">
        <is>
          <t>VÄRMLANDS LÄN</t>
        </is>
      </c>
      <c r="E184" t="inlineStr">
        <is>
          <t>FORSHAGA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61896-2025</t>
        </is>
      </c>
      <c r="B185" s="1" t="n">
        <v>46003.46021990741</v>
      </c>
      <c r="C185" s="1" t="n">
        <v>46045</v>
      </c>
      <c r="D185" t="inlineStr">
        <is>
          <t>VÄRMLANDS LÄN</t>
        </is>
      </c>
      <c r="E185" t="inlineStr">
        <is>
          <t>FORSHAGA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33218-2023</t>
        </is>
      </c>
      <c r="B186" s="1" t="n">
        <v>45127</v>
      </c>
      <c r="C186" s="1" t="n">
        <v>46045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20244-2023</t>
        </is>
      </c>
      <c r="B187" s="1" t="n">
        <v>45055</v>
      </c>
      <c r="C187" s="1" t="n">
        <v>46045</v>
      </c>
      <c r="D187" t="inlineStr">
        <is>
          <t>VÄRMLANDS LÄN</t>
        </is>
      </c>
      <c r="E187" t="inlineStr">
        <is>
          <t>FORSHAGA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61457-2022</t>
        </is>
      </c>
      <c r="B188" s="1" t="n">
        <v>44916.42027777778</v>
      </c>
      <c r="C188" s="1" t="n">
        <v>46045</v>
      </c>
      <c r="D188" t="inlineStr">
        <is>
          <t>VÄRMLANDS LÄN</t>
        </is>
      </c>
      <c r="E188" t="inlineStr">
        <is>
          <t>FORSHAGA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54692-2024</t>
        </is>
      </c>
      <c r="B189" s="1" t="n">
        <v>45618</v>
      </c>
      <c r="C189" s="1" t="n">
        <v>46045</v>
      </c>
      <c r="D189" t="inlineStr">
        <is>
          <t>VÄRMLANDS LÄN</t>
        </is>
      </c>
      <c r="E189" t="inlineStr">
        <is>
          <t>FORSHAGA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26869-2024</t>
        </is>
      </c>
      <c r="B190" s="1" t="n">
        <v>45470.6132175926</v>
      </c>
      <c r="C190" s="1" t="n">
        <v>46045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27346-2025</t>
        </is>
      </c>
      <c r="B191" s="1" t="n">
        <v>45812.62319444444</v>
      </c>
      <c r="C191" s="1" t="n">
        <v>46045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27351-2025</t>
        </is>
      </c>
      <c r="B192" s="1" t="n">
        <v>45812.62601851852</v>
      </c>
      <c r="C192" s="1" t="n">
        <v>46045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27353-2025</t>
        </is>
      </c>
      <c r="B193" s="1" t="n">
        <v>45812.62880787037</v>
      </c>
      <c r="C193" s="1" t="n">
        <v>46045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55512-2025</t>
        </is>
      </c>
      <c r="B194" s="1" t="n">
        <v>45971.60068287037</v>
      </c>
      <c r="C194" s="1" t="n">
        <v>46045</v>
      </c>
      <c r="D194" t="inlineStr">
        <is>
          <t>VÄRMLANDS LÄN</t>
        </is>
      </c>
      <c r="E194" t="inlineStr">
        <is>
          <t>FORSHAGA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34786-2024</t>
        </is>
      </c>
      <c r="B195" s="1" t="n">
        <v>45526</v>
      </c>
      <c r="C195" s="1" t="n">
        <v>46045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29231-2023</t>
        </is>
      </c>
      <c r="B196" s="1" t="n">
        <v>45105.61543981481</v>
      </c>
      <c r="C196" s="1" t="n">
        <v>46045</v>
      </c>
      <c r="D196" t="inlineStr">
        <is>
          <t>VÄRMLANDS LÄN</t>
        </is>
      </c>
      <c r="E196" t="inlineStr">
        <is>
          <t>FORSHAGA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19323-2023</t>
        </is>
      </c>
      <c r="B197" s="1" t="n">
        <v>45049.555625</v>
      </c>
      <c r="C197" s="1" t="n">
        <v>46045</v>
      </c>
      <c r="D197" t="inlineStr">
        <is>
          <t>VÄRMLANDS LÄN</t>
        </is>
      </c>
      <c r="E197" t="inlineStr">
        <is>
          <t>FORSHAGA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55421-2025</t>
        </is>
      </c>
      <c r="B198" s="1" t="n">
        <v>45971</v>
      </c>
      <c r="C198" s="1" t="n">
        <v>46045</v>
      </c>
      <c r="D198" t="inlineStr">
        <is>
          <t>VÄRMLANDS LÄN</t>
        </is>
      </c>
      <c r="E198" t="inlineStr">
        <is>
          <t>FORSHAGA</t>
        </is>
      </c>
      <c r="G198" t="n">
        <v>13.6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55425-2025</t>
        </is>
      </c>
      <c r="B199" s="1" t="n">
        <v>45971</v>
      </c>
      <c r="C199" s="1" t="n">
        <v>46045</v>
      </c>
      <c r="D199" t="inlineStr">
        <is>
          <t>VÄRMLANDS LÄN</t>
        </is>
      </c>
      <c r="E199" t="inlineStr">
        <is>
          <t>FORSHAGA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55437-2025</t>
        </is>
      </c>
      <c r="B200" s="1" t="n">
        <v>45971</v>
      </c>
      <c r="C200" s="1" t="n">
        <v>46045</v>
      </c>
      <c r="D200" t="inlineStr">
        <is>
          <t>VÄRMLANDS LÄN</t>
        </is>
      </c>
      <c r="E200" t="inlineStr">
        <is>
          <t>FORSHAGA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32680-2023</t>
        </is>
      </c>
      <c r="B201" s="1" t="n">
        <v>45121.67741898148</v>
      </c>
      <c r="C201" s="1" t="n">
        <v>46045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55440-2025</t>
        </is>
      </c>
      <c r="B202" s="1" t="n">
        <v>45971</v>
      </c>
      <c r="C202" s="1" t="n">
        <v>46045</v>
      </c>
      <c r="D202" t="inlineStr">
        <is>
          <t>VÄRMLANDS LÄN</t>
        </is>
      </c>
      <c r="E202" t="inlineStr">
        <is>
          <t>FORSHAGA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55417-2025</t>
        </is>
      </c>
      <c r="B203" s="1" t="n">
        <v>45971</v>
      </c>
      <c r="C203" s="1" t="n">
        <v>46045</v>
      </c>
      <c r="D203" t="inlineStr">
        <is>
          <t>VÄRMLANDS LÄN</t>
        </is>
      </c>
      <c r="E203" t="inlineStr">
        <is>
          <t>FORSHAGA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55433-2025</t>
        </is>
      </c>
      <c r="B204" s="1" t="n">
        <v>45971</v>
      </c>
      <c r="C204" s="1" t="n">
        <v>46045</v>
      </c>
      <c r="D204" t="inlineStr">
        <is>
          <t>VÄRMLANDS LÄN</t>
        </is>
      </c>
      <c r="E204" t="inlineStr">
        <is>
          <t>FORSHAGA</t>
        </is>
      </c>
      <c r="G204" t="n">
        <v>14.2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31831-2025</t>
        </is>
      </c>
      <c r="B205" s="1" t="n">
        <v>45834.59111111111</v>
      </c>
      <c r="C205" s="1" t="n">
        <v>46045</v>
      </c>
      <c r="D205" t="inlineStr">
        <is>
          <t>VÄRMLANDS LÄN</t>
        </is>
      </c>
      <c r="E205" t="inlineStr">
        <is>
          <t>FORSHAGA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44550.84347222222</v>
      </c>
      <c r="C206" s="1" t="n">
        <v>46045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31968-2025</t>
        </is>
      </c>
      <c r="B207" s="1" t="n">
        <v>45835</v>
      </c>
      <c r="C207" s="1" t="n">
        <v>46045</v>
      </c>
      <c r="D207" t="inlineStr">
        <is>
          <t>VÄRMLANDS LÄN</t>
        </is>
      </c>
      <c r="E207" t="inlineStr">
        <is>
          <t>FORSHAGA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59090-2025</t>
        </is>
      </c>
      <c r="B208" s="1" t="n">
        <v>45988.44700231482</v>
      </c>
      <c r="C208" s="1" t="n">
        <v>46045</v>
      </c>
      <c r="D208" t="inlineStr">
        <is>
          <t>VÄRMLANDS LÄN</t>
        </is>
      </c>
      <c r="E208" t="inlineStr">
        <is>
          <t>FORSHAGA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48630-2024</t>
        </is>
      </c>
      <c r="B209" s="1" t="n">
        <v>45593.46697916667</v>
      </c>
      <c r="C209" s="1" t="n">
        <v>46045</v>
      </c>
      <c r="D209" t="inlineStr">
        <is>
          <t>VÄRMLANDS LÄN</t>
        </is>
      </c>
      <c r="E209" t="inlineStr">
        <is>
          <t>FORSHAGA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58905-2025</t>
        </is>
      </c>
      <c r="B210" s="1" t="n">
        <v>45987.51020833333</v>
      </c>
      <c r="C210" s="1" t="n">
        <v>46045</v>
      </c>
      <c r="D210" t="inlineStr">
        <is>
          <t>VÄRMLANDS LÄN</t>
        </is>
      </c>
      <c r="E210" t="inlineStr">
        <is>
          <t>FORSHAGA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58915-2025</t>
        </is>
      </c>
      <c r="B211" s="1" t="n">
        <v>45987.52658564815</v>
      </c>
      <c r="C211" s="1" t="n">
        <v>46045</v>
      </c>
      <c r="D211" t="inlineStr">
        <is>
          <t>VÄRMLANDS LÄN</t>
        </is>
      </c>
      <c r="E211" t="inlineStr">
        <is>
          <t>FORSHAGA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42370-2025</t>
        </is>
      </c>
      <c r="B212" s="1" t="n">
        <v>45905</v>
      </c>
      <c r="C212" s="1" t="n">
        <v>46045</v>
      </c>
      <c r="D212" t="inlineStr">
        <is>
          <t>VÄRMLANDS LÄN</t>
        </is>
      </c>
      <c r="E212" t="inlineStr">
        <is>
          <t>FORSHAGA</t>
        </is>
      </c>
      <c r="F212" t="inlineStr">
        <is>
          <t>Kommuner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59298-2025</t>
        </is>
      </c>
      <c r="B213" s="1" t="n">
        <v>45988.80296296296</v>
      </c>
      <c r="C213" s="1" t="n">
        <v>46045</v>
      </c>
      <c r="D213" t="inlineStr">
        <is>
          <t>VÄRMLANDS LÄN</t>
        </is>
      </c>
      <c r="E213" t="inlineStr">
        <is>
          <t>FORSHAGA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23900-2024</t>
        </is>
      </c>
      <c r="B214" s="1" t="n">
        <v>45455.70663194444</v>
      </c>
      <c r="C214" s="1" t="n">
        <v>46045</v>
      </c>
      <c r="D214" t="inlineStr">
        <is>
          <t>VÄRMLANDS LÄN</t>
        </is>
      </c>
      <c r="E214" t="inlineStr">
        <is>
          <t>FORSHAGA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59933-2025</t>
        </is>
      </c>
      <c r="B215" s="1" t="n">
        <v>45993.40327546297</v>
      </c>
      <c r="C215" s="1" t="n">
        <v>46045</v>
      </c>
      <c r="D215" t="inlineStr">
        <is>
          <t>VÄRMLANDS LÄN</t>
        </is>
      </c>
      <c r="E215" t="inlineStr">
        <is>
          <t>FORSHAGA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23451-2024</t>
        </is>
      </c>
      <c r="B216" s="1" t="n">
        <v>45453.64371527778</v>
      </c>
      <c r="C216" s="1" t="n">
        <v>46045</v>
      </c>
      <c r="D216" t="inlineStr">
        <is>
          <t>VÄRMLANDS LÄN</t>
        </is>
      </c>
      <c r="E216" t="inlineStr">
        <is>
          <t>FORSHAGA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59919-2025</t>
        </is>
      </c>
      <c r="B217" s="1" t="n">
        <v>45993.37708333333</v>
      </c>
      <c r="C217" s="1" t="n">
        <v>46045</v>
      </c>
      <c r="D217" t="inlineStr">
        <is>
          <t>VÄRMLANDS LÄN</t>
        </is>
      </c>
      <c r="E217" t="inlineStr">
        <is>
          <t>FORSHAGA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59955-2025</t>
        </is>
      </c>
      <c r="B218" s="1" t="n">
        <v>45993.46239583333</v>
      </c>
      <c r="C218" s="1" t="n">
        <v>46045</v>
      </c>
      <c r="D218" t="inlineStr">
        <is>
          <t>VÄRMLANDS LÄN</t>
        </is>
      </c>
      <c r="E218" t="inlineStr">
        <is>
          <t>FORSHAGA</t>
        </is>
      </c>
      <c r="F218" t="inlineStr">
        <is>
          <t>Kyrkan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827-2026</t>
        </is>
      </c>
      <c r="B219" s="1" t="n">
        <v>46030</v>
      </c>
      <c r="C219" s="1" t="n">
        <v>46045</v>
      </c>
      <c r="D219" t="inlineStr">
        <is>
          <t>VÄRMLANDS LÄN</t>
        </is>
      </c>
      <c r="E219" t="inlineStr">
        <is>
          <t>FORSHAGA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60850-2025</t>
        </is>
      </c>
      <c r="B220" s="1" t="n">
        <v>45999.50127314815</v>
      </c>
      <c r="C220" s="1" t="n">
        <v>46045</v>
      </c>
      <c r="D220" t="inlineStr">
        <is>
          <t>VÄRMLANDS LÄN</t>
        </is>
      </c>
      <c r="E220" t="inlineStr">
        <is>
          <t>FORSHAGA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28321-2023</t>
        </is>
      </c>
      <c r="B221" s="1" t="n">
        <v>45099</v>
      </c>
      <c r="C221" s="1" t="n">
        <v>46045</v>
      </c>
      <c r="D221" t="inlineStr">
        <is>
          <t>VÄRMLANDS LÄN</t>
        </is>
      </c>
      <c r="E221" t="inlineStr">
        <is>
          <t>FORSHAGA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60893-2025</t>
        </is>
      </c>
      <c r="B222" s="1" t="n">
        <v>45999.57299768519</v>
      </c>
      <c r="C222" s="1" t="n">
        <v>46045</v>
      </c>
      <c r="D222" t="inlineStr">
        <is>
          <t>VÄRMLANDS LÄN</t>
        </is>
      </c>
      <c r="E222" t="inlineStr">
        <is>
          <t>FORSHAGA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25008-2023</t>
        </is>
      </c>
      <c r="B223" s="1" t="n">
        <v>45085</v>
      </c>
      <c r="C223" s="1" t="n">
        <v>46045</v>
      </c>
      <c r="D223" t="inlineStr">
        <is>
          <t>VÄRMLANDS LÄN</t>
        </is>
      </c>
      <c r="E223" t="inlineStr">
        <is>
          <t>FORSHAGA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33219-2023</t>
        </is>
      </c>
      <c r="B224" s="1" t="n">
        <v>45127</v>
      </c>
      <c r="C224" s="1" t="n">
        <v>46045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48590-2024</t>
        </is>
      </c>
      <c r="B225" s="1" t="n">
        <v>45593</v>
      </c>
      <c r="C225" s="1" t="n">
        <v>46045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17135-2025</t>
        </is>
      </c>
      <c r="B226" s="1" t="n">
        <v>45755.79530092593</v>
      </c>
      <c r="C226" s="1" t="n">
        <v>46045</v>
      </c>
      <c r="D226" t="inlineStr">
        <is>
          <t>VÄRMLANDS LÄN</t>
        </is>
      </c>
      <c r="E226" t="inlineStr">
        <is>
          <t>FORSHAGA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63799-2023</t>
        </is>
      </c>
      <c r="B227" s="1" t="n">
        <v>45278</v>
      </c>
      <c r="C227" s="1" t="n">
        <v>46045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17519-2024</t>
        </is>
      </c>
      <c r="B228" s="1" t="n">
        <v>45415</v>
      </c>
      <c r="C228" s="1" t="n">
        <v>46045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51124-2021</t>
        </is>
      </c>
      <c r="B229" s="1" t="n">
        <v>44461</v>
      </c>
      <c r="C229" s="1" t="n">
        <v>46045</v>
      </c>
      <c r="D229" t="inlineStr">
        <is>
          <t>VÄRMLANDS LÄN</t>
        </is>
      </c>
      <c r="E229" t="inlineStr">
        <is>
          <t>FORSHAGA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32796-2023</t>
        </is>
      </c>
      <c r="B230" s="1" t="n">
        <v>45124</v>
      </c>
      <c r="C230" s="1" t="n">
        <v>46045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48641-2024</t>
        </is>
      </c>
      <c r="B231" s="1" t="n">
        <v>45593</v>
      </c>
      <c r="C231" s="1" t="n">
        <v>46045</v>
      </c>
      <c r="D231" t="inlineStr">
        <is>
          <t>VÄRMLANDS LÄN</t>
        </is>
      </c>
      <c r="E231" t="inlineStr">
        <is>
          <t>FORSHAGA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2818-2022</t>
        </is>
      </c>
      <c r="B232" s="1" t="n">
        <v>44581.41297453704</v>
      </c>
      <c r="C232" s="1" t="n">
        <v>46045</v>
      </c>
      <c r="D232" t="inlineStr">
        <is>
          <t>VÄRMLANDS LÄN</t>
        </is>
      </c>
      <c r="E232" t="inlineStr">
        <is>
          <t>FORSHAGA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7273-2023</t>
        </is>
      </c>
      <c r="B233" s="1" t="n">
        <v>44970</v>
      </c>
      <c r="C233" s="1" t="n">
        <v>46045</v>
      </c>
      <c r="D233" t="inlineStr">
        <is>
          <t>VÄRMLANDS LÄN</t>
        </is>
      </c>
      <c r="E233" t="inlineStr">
        <is>
          <t>FORSHAGA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20862-2024</t>
        </is>
      </c>
      <c r="B234" s="1" t="n">
        <v>45439</v>
      </c>
      <c r="C234" s="1" t="n">
        <v>46045</v>
      </c>
      <c r="D234" t="inlineStr">
        <is>
          <t>VÄRMLANDS LÄN</t>
        </is>
      </c>
      <c r="E234" t="inlineStr">
        <is>
          <t>FORSHAGA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6909-2025</t>
        </is>
      </c>
      <c r="B235" s="1" t="n">
        <v>45701</v>
      </c>
      <c r="C235" s="1" t="n">
        <v>46045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33224-2023</t>
        </is>
      </c>
      <c r="B236" s="1" t="n">
        <v>45127</v>
      </c>
      <c r="C236" s="1" t="n">
        <v>46045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2278-2022</t>
        </is>
      </c>
      <c r="B237" s="1" t="n">
        <v>44578</v>
      </c>
      <c r="C237" s="1" t="n">
        <v>46045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39407-2024</t>
        </is>
      </c>
      <c r="B238" s="1" t="n">
        <v>45551</v>
      </c>
      <c r="C238" s="1" t="n">
        <v>46045</v>
      </c>
      <c r="D238" t="inlineStr">
        <is>
          <t>VÄRMLANDS LÄN</t>
        </is>
      </c>
      <c r="E238" t="inlineStr">
        <is>
          <t>FORSHAGA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2843-2022</t>
        </is>
      </c>
      <c r="B239" s="1" t="n">
        <v>44581</v>
      </c>
      <c r="C239" s="1" t="n">
        <v>46045</v>
      </c>
      <c r="D239" t="inlineStr">
        <is>
          <t>VÄRMLANDS LÄN</t>
        </is>
      </c>
      <c r="E239" t="inlineStr">
        <is>
          <t>FORSHAGA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53596-2024</t>
        </is>
      </c>
      <c r="B240" s="1" t="n">
        <v>45614</v>
      </c>
      <c r="C240" s="1" t="n">
        <v>46045</v>
      </c>
      <c r="D240" t="inlineStr">
        <is>
          <t>VÄRMLANDS LÄN</t>
        </is>
      </c>
      <c r="E240" t="inlineStr">
        <is>
          <t>FORSHAGA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19996-2022</t>
        </is>
      </c>
      <c r="B241" s="1" t="n">
        <v>44697</v>
      </c>
      <c r="C241" s="1" t="n">
        <v>46045</v>
      </c>
      <c r="D241" t="inlineStr">
        <is>
          <t>VÄRMLANDS LÄN</t>
        </is>
      </c>
      <c r="E241" t="inlineStr">
        <is>
          <t>FORSHAGA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40898-2024</t>
        </is>
      </c>
      <c r="B242" s="1" t="n">
        <v>45558</v>
      </c>
      <c r="C242" s="1" t="n">
        <v>46045</v>
      </c>
      <c r="D242" t="inlineStr">
        <is>
          <t>VÄRMLANDS LÄN</t>
        </is>
      </c>
      <c r="E242" t="inlineStr">
        <is>
          <t>FORSHAGA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19069-2025</t>
        </is>
      </c>
      <c r="B243" s="1" t="n">
        <v>45765</v>
      </c>
      <c r="C243" s="1" t="n">
        <v>46045</v>
      </c>
      <c r="D243" t="inlineStr">
        <is>
          <t>VÄRMLANDS LÄN</t>
        </is>
      </c>
      <c r="E243" t="inlineStr">
        <is>
          <t>FORSHAGA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11350-2024</t>
        </is>
      </c>
      <c r="B244" s="1" t="n">
        <v>45372.34391203704</v>
      </c>
      <c r="C244" s="1" t="n">
        <v>46045</v>
      </c>
      <c r="D244" t="inlineStr">
        <is>
          <t>VÄRMLANDS LÄN</t>
        </is>
      </c>
      <c r="E244" t="inlineStr">
        <is>
          <t>FORSHAGA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12484-2022</t>
        </is>
      </c>
      <c r="B245" s="1" t="n">
        <v>44638</v>
      </c>
      <c r="C245" s="1" t="n">
        <v>46045</v>
      </c>
      <c r="D245" t="inlineStr">
        <is>
          <t>VÄRMLANDS LÄN</t>
        </is>
      </c>
      <c r="E245" t="inlineStr">
        <is>
          <t>FORSHAGA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35850-2023</t>
        </is>
      </c>
      <c r="B246" s="1" t="n">
        <v>45148</v>
      </c>
      <c r="C246" s="1" t="n">
        <v>46045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53573-2024</t>
        </is>
      </c>
      <c r="B247" s="1" t="n">
        <v>45614</v>
      </c>
      <c r="C247" s="1" t="n">
        <v>46045</v>
      </c>
      <c r="D247" t="inlineStr">
        <is>
          <t>VÄRMLANDS LÄN</t>
        </is>
      </c>
      <c r="E247" t="inlineStr">
        <is>
          <t>FORSHAGA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22362-2024</t>
        </is>
      </c>
      <c r="B248" s="1" t="n">
        <v>45446.63490740741</v>
      </c>
      <c r="C248" s="1" t="n">
        <v>46045</v>
      </c>
      <c r="D248" t="inlineStr">
        <is>
          <t>VÄRMLANDS LÄN</t>
        </is>
      </c>
      <c r="E248" t="inlineStr">
        <is>
          <t>FORSHAGA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8399-2025</t>
        </is>
      </c>
      <c r="B249" s="1" t="n">
        <v>45709</v>
      </c>
      <c r="C249" s="1" t="n">
        <v>46045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55249-2023</t>
        </is>
      </c>
      <c r="B250" s="1" t="n">
        <v>45237.64636574074</v>
      </c>
      <c r="C250" s="1" t="n">
        <v>46045</v>
      </c>
      <c r="D250" t="inlineStr">
        <is>
          <t>VÄRMLANDS LÄN</t>
        </is>
      </c>
      <c r="E250" t="inlineStr">
        <is>
          <t>FORSHAGA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60341-2022</t>
        </is>
      </c>
      <c r="B251" s="1" t="n">
        <v>44910.61255787037</v>
      </c>
      <c r="C251" s="1" t="n">
        <v>46045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18439-2025</t>
        </is>
      </c>
      <c r="B252" s="1" t="n">
        <v>45762</v>
      </c>
      <c r="C252" s="1" t="n">
        <v>46045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40968-2022</t>
        </is>
      </c>
      <c r="B253" s="1" t="n">
        <v>44823</v>
      </c>
      <c r="C253" s="1" t="n">
        <v>46045</v>
      </c>
      <c r="D253" t="inlineStr">
        <is>
          <t>VÄRMLANDS LÄN</t>
        </is>
      </c>
      <c r="E253" t="inlineStr">
        <is>
          <t>FORSHAGA</t>
        </is>
      </c>
      <c r="G253" t="n">
        <v>16.5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64121-2023</t>
        </is>
      </c>
      <c r="B254" s="1" t="n">
        <v>45279</v>
      </c>
      <c r="C254" s="1" t="n">
        <v>46045</v>
      </c>
      <c r="D254" t="inlineStr">
        <is>
          <t>VÄRMLANDS LÄN</t>
        </is>
      </c>
      <c r="E254" t="inlineStr">
        <is>
          <t>FORSHAGA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34427-2024</t>
        </is>
      </c>
      <c r="B255" s="1" t="n">
        <v>45525</v>
      </c>
      <c r="C255" s="1" t="n">
        <v>46045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12320-2024</t>
        </is>
      </c>
      <c r="B256" s="1" t="n">
        <v>45378</v>
      </c>
      <c r="C256" s="1" t="n">
        <v>46045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55137-2023</t>
        </is>
      </c>
      <c r="B257" s="1" t="n">
        <v>45237</v>
      </c>
      <c r="C257" s="1" t="n">
        <v>46045</v>
      </c>
      <c r="D257" t="inlineStr">
        <is>
          <t>VÄRMLANDS LÄN</t>
        </is>
      </c>
      <c r="E257" t="inlineStr">
        <is>
          <t>FORSHAGA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73264-2021</t>
        </is>
      </c>
      <c r="B258" s="1" t="n">
        <v>44550</v>
      </c>
      <c r="C258" s="1" t="n">
        <v>46045</v>
      </c>
      <c r="D258" t="inlineStr">
        <is>
          <t>VÄRMLANDS LÄN</t>
        </is>
      </c>
      <c r="E258" t="inlineStr">
        <is>
          <t>FORSHAGA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73266-2021</t>
        </is>
      </c>
      <c r="B259" s="1" t="n">
        <v>44550.84164351852</v>
      </c>
      <c r="C259" s="1" t="n">
        <v>46045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61231-2022</t>
        </is>
      </c>
      <c r="B260" s="1" t="n">
        <v>44915</v>
      </c>
      <c r="C260" s="1" t="n">
        <v>46045</v>
      </c>
      <c r="D260" t="inlineStr">
        <is>
          <t>VÄRMLANDS LÄN</t>
        </is>
      </c>
      <c r="E260" t="inlineStr">
        <is>
          <t>FORSHAGA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13545-2025</t>
        </is>
      </c>
      <c r="B261" s="1" t="n">
        <v>45736.53642361111</v>
      </c>
      <c r="C261" s="1" t="n">
        <v>46045</v>
      </c>
      <c r="D261" t="inlineStr">
        <is>
          <t>VÄRMLANDS LÄN</t>
        </is>
      </c>
      <c r="E261" t="inlineStr">
        <is>
          <t>FORSHAGA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43163-2024</t>
        </is>
      </c>
      <c r="B262" s="1" t="n">
        <v>45567</v>
      </c>
      <c r="C262" s="1" t="n">
        <v>46045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1338-2023</t>
        </is>
      </c>
      <c r="B263" s="1" t="n">
        <v>44936.58559027778</v>
      </c>
      <c r="C263" s="1" t="n">
        <v>46045</v>
      </c>
      <c r="D263" t="inlineStr">
        <is>
          <t>VÄRMLANDS LÄN</t>
        </is>
      </c>
      <c r="E263" t="inlineStr">
        <is>
          <t>FORSHAGA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35654-2024</t>
        </is>
      </c>
      <c r="B264" s="1" t="n">
        <v>45532.35637731481</v>
      </c>
      <c r="C264" s="1" t="n">
        <v>46045</v>
      </c>
      <c r="D264" t="inlineStr">
        <is>
          <t>VÄRMLANDS LÄN</t>
        </is>
      </c>
      <c r="E264" t="inlineStr">
        <is>
          <t>FORSHAGA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53912-2022</t>
        </is>
      </c>
      <c r="B265" s="1" t="n">
        <v>44880.85837962963</v>
      </c>
      <c r="C265" s="1" t="n">
        <v>46045</v>
      </c>
      <c r="D265" t="inlineStr">
        <is>
          <t>VÄRMLANDS LÄN</t>
        </is>
      </c>
      <c r="E265" t="inlineStr">
        <is>
          <t>FORSHAGA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20928-2024</t>
        </is>
      </c>
      <c r="B266" s="1" t="n">
        <v>45439.51597222222</v>
      </c>
      <c r="C266" s="1" t="n">
        <v>46045</v>
      </c>
      <c r="D266" t="inlineStr">
        <is>
          <t>VÄRMLANDS LÄN</t>
        </is>
      </c>
      <c r="E266" t="inlineStr">
        <is>
          <t>FORSHAGA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20933-2024</t>
        </is>
      </c>
      <c r="B267" s="1" t="n">
        <v>45439</v>
      </c>
      <c r="C267" s="1" t="n">
        <v>46045</v>
      </c>
      <c r="D267" t="inlineStr">
        <is>
          <t>VÄRMLANDS LÄN</t>
        </is>
      </c>
      <c r="E267" t="inlineStr">
        <is>
          <t>FORSHAGA</t>
        </is>
      </c>
      <c r="G267" t="n">
        <v>11.3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7297-2023</t>
        </is>
      </c>
      <c r="B268" s="1" t="n">
        <v>44970</v>
      </c>
      <c r="C268" s="1" t="n">
        <v>46045</v>
      </c>
      <c r="D268" t="inlineStr">
        <is>
          <t>VÄRMLANDS LÄN</t>
        </is>
      </c>
      <c r="E268" t="inlineStr">
        <is>
          <t>FORSHAGA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33227-2023</t>
        </is>
      </c>
      <c r="B269" s="1" t="n">
        <v>45127</v>
      </c>
      <c r="C269" s="1" t="n">
        <v>46045</v>
      </c>
      <c r="D269" t="inlineStr">
        <is>
          <t>VÄRMLANDS LÄN</t>
        </is>
      </c>
      <c r="E269" t="inlineStr">
        <is>
          <t>FORSHAGA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38261-2022</t>
        </is>
      </c>
      <c r="B270" s="1" t="n">
        <v>44812</v>
      </c>
      <c r="C270" s="1" t="n">
        <v>46045</v>
      </c>
      <c r="D270" t="inlineStr">
        <is>
          <t>VÄRMLANDS LÄN</t>
        </is>
      </c>
      <c r="E270" t="inlineStr">
        <is>
          <t>FORSHAGA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54170-2022</t>
        </is>
      </c>
      <c r="B271" s="1" t="n">
        <v>44881</v>
      </c>
      <c r="C271" s="1" t="n">
        <v>46045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24036-2023</t>
        </is>
      </c>
      <c r="B272" s="1" t="n">
        <v>45078</v>
      </c>
      <c r="C272" s="1" t="n">
        <v>46045</v>
      </c>
      <c r="D272" t="inlineStr">
        <is>
          <t>VÄRMLANDS LÄN</t>
        </is>
      </c>
      <c r="E272" t="inlineStr">
        <is>
          <t>FORSHAGA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39660-2021</t>
        </is>
      </c>
      <c r="B273" s="1" t="n">
        <v>44417</v>
      </c>
      <c r="C273" s="1" t="n">
        <v>46045</v>
      </c>
      <c r="D273" t="inlineStr">
        <is>
          <t>VÄRMLANDS LÄN</t>
        </is>
      </c>
      <c r="E273" t="inlineStr">
        <is>
          <t>FORSHAGA</t>
        </is>
      </c>
      <c r="G273" t="n">
        <v>14.8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34737-2021</t>
        </is>
      </c>
      <c r="B274" s="1" t="n">
        <v>44382.6680787037</v>
      </c>
      <c r="C274" s="1" t="n">
        <v>46045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2026-01-23T10:57:22Z</dcterms:created>
  <dcterms:modified xmlns:dcterms="http://purl.org/dc/terms/" xmlns:xsi="http://www.w3.org/2001/XMLSchema-instance" xsi:type="dcterms:W3CDTF">2026-01-23T10:57:22Z</dcterms:modified>
</cp:coreProperties>
</file>