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45702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45702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45702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45702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45702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45702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45702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45702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45702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45702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45702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45702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45702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45702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45702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45702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45702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45702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45702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45702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45702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45702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45702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35334-2024</t>
        </is>
      </c>
      <c r="B25" s="1" t="n">
        <v>45530</v>
      </c>
      <c r="C25" s="1" t="n">
        <v>45702</v>
      </c>
      <c r="D25" t="inlineStr">
        <is>
          <t>VÄRMLANDS LÄN</t>
        </is>
      </c>
      <c r="E25" t="inlineStr">
        <is>
          <t>FORSHAGA</t>
        </is>
      </c>
      <c r="F25" t="inlineStr">
        <is>
          <t>Kommuner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HYPERLINK("https://klasma.github.io/Logging_1763/artfynd/A 35334-2024 artfynd.xlsx", "A 35334-2024")</f>
        <v/>
      </c>
      <c r="T25">
        <f>HYPERLINK("https://klasma.github.io/Logging_1763/kartor/A 35334-2024 karta.png", "A 35334-2024")</f>
        <v/>
      </c>
      <c r="V25">
        <f>HYPERLINK("https://klasma.github.io/Logging_1763/klagomål/A 35334-2024 FSC-klagomål.docx", "A 35334-2024")</f>
        <v/>
      </c>
      <c r="W25">
        <f>HYPERLINK("https://klasma.github.io/Logging_1763/klagomålsmail/A 35334-2024 FSC-klagomål mail.docx", "A 35334-2024")</f>
        <v/>
      </c>
      <c r="X25">
        <f>HYPERLINK("https://klasma.github.io/Logging_1763/tillsyn/A 35334-2024 tillsynsbegäran.docx", "A 35334-2024")</f>
        <v/>
      </c>
      <c r="Y25">
        <f>HYPERLINK("https://klasma.github.io/Logging_1763/tillsynsmail/A 35334-2024 tillsynsbegäran mail.docx", "A 35334-2024")</f>
        <v/>
      </c>
    </row>
    <row r="26" ht="15" customHeight="1">
      <c r="A26" t="inlineStr">
        <is>
          <t>A 46620-2024</t>
        </is>
      </c>
      <c r="B26" s="1" t="n">
        <v>45583</v>
      </c>
      <c r="C26" s="1" t="n">
        <v>45702</v>
      </c>
      <c r="D26" t="inlineStr">
        <is>
          <t>VÄRMLANDS LÄN</t>
        </is>
      </c>
      <c r="E26" t="inlineStr">
        <is>
          <t>FORSHAGA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HYPERLINK("https://klasma.github.io/Logging_1763/artfynd/A 46620-2024 artfynd.xlsx", "A 46620-2024")</f>
        <v/>
      </c>
      <c r="T26">
        <f>HYPERLINK("https://klasma.github.io/Logging_1763/kartor/A 46620-2024 karta.png", "A 46620-2024")</f>
        <v/>
      </c>
      <c r="V26">
        <f>HYPERLINK("https://klasma.github.io/Logging_1763/klagomål/A 46620-2024 FSC-klagomål.docx", "A 46620-2024")</f>
        <v/>
      </c>
      <c r="W26">
        <f>HYPERLINK("https://klasma.github.io/Logging_1763/klagomålsmail/A 46620-2024 FSC-klagomål mail.docx", "A 46620-2024")</f>
        <v/>
      </c>
      <c r="X26">
        <f>HYPERLINK("https://klasma.github.io/Logging_1763/tillsyn/A 46620-2024 tillsynsbegäran.docx", "A 46620-2024")</f>
        <v/>
      </c>
      <c r="Y26">
        <f>HYPERLINK("https://klasma.github.io/Logging_1763/tillsynsmail/A 46620-2024 tillsynsbegäran mail.docx", "A 46620-2024")</f>
        <v/>
      </c>
    </row>
    <row r="27" ht="15" customHeight="1">
      <c r="A27" t="inlineStr">
        <is>
          <t>A 18113-2019</t>
        </is>
      </c>
      <c r="B27" s="1" t="n">
        <v>43558</v>
      </c>
      <c r="C27" s="1" t="n">
        <v>45702</v>
      </c>
      <c r="D27" t="inlineStr">
        <is>
          <t>VÄRMLANDS LÄN</t>
        </is>
      </c>
      <c r="E27" t="inlineStr">
        <is>
          <t>FORSHAGA</t>
        </is>
      </c>
      <c r="F27" t="inlineStr">
        <is>
          <t>Bergvik skog väst AB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19828-2019</t>
        </is>
      </c>
      <c r="B28" s="1" t="n">
        <v>43566</v>
      </c>
      <c r="C28" s="1" t="n">
        <v>45702</v>
      </c>
      <c r="D28" t="inlineStr">
        <is>
          <t>VÄRMLANDS LÄN</t>
        </is>
      </c>
      <c r="E28" t="inlineStr">
        <is>
          <t>FORSHAGA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20791-2019</t>
        </is>
      </c>
      <c r="B29" s="1" t="n">
        <v>43573</v>
      </c>
      <c r="C29" s="1" t="n">
        <v>45702</v>
      </c>
      <c r="D29" t="inlineStr">
        <is>
          <t>VÄRMLANDS LÄN</t>
        </is>
      </c>
      <c r="E29" t="inlineStr">
        <is>
          <t>FORSHAGA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21185-2019</t>
        </is>
      </c>
      <c r="B30" s="1" t="n">
        <v>43579</v>
      </c>
      <c r="C30" s="1" t="n">
        <v>45702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21283-2019</t>
        </is>
      </c>
      <c r="B31" s="1" t="n">
        <v>43579</v>
      </c>
      <c r="C31" s="1" t="n">
        <v>45702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17.2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21196-2019</t>
        </is>
      </c>
      <c r="B32" s="1" t="n">
        <v>43579</v>
      </c>
      <c r="C32" s="1" t="n">
        <v>45702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21464-2019</t>
        </is>
      </c>
      <c r="B33" s="1" t="n">
        <v>43580</v>
      </c>
      <c r="C33" s="1" t="n">
        <v>45702</v>
      </c>
      <c r="D33" t="inlineStr">
        <is>
          <t>VÄRMLANDS LÄN</t>
        </is>
      </c>
      <c r="E33" t="inlineStr">
        <is>
          <t>FORSHAGA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21467-2019</t>
        </is>
      </c>
      <c r="B34" s="1" t="n">
        <v>43580</v>
      </c>
      <c r="C34" s="1" t="n">
        <v>45702</v>
      </c>
      <c r="D34" t="inlineStr">
        <is>
          <t>VÄRMLANDS LÄN</t>
        </is>
      </c>
      <c r="E34" t="inlineStr">
        <is>
          <t>FORSHAGA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21695-2019</t>
        </is>
      </c>
      <c r="B35" s="1" t="n">
        <v>43581</v>
      </c>
      <c r="C35" s="1" t="n">
        <v>45702</v>
      </c>
      <c r="D35" t="inlineStr">
        <is>
          <t>VÄRMLANDS LÄN</t>
        </is>
      </c>
      <c r="E35" t="inlineStr">
        <is>
          <t>FORSHAGA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23032-2019</t>
        </is>
      </c>
      <c r="B36" s="1" t="n">
        <v>43591</v>
      </c>
      <c r="C36" s="1" t="n">
        <v>45702</v>
      </c>
      <c r="D36" t="inlineStr">
        <is>
          <t>VÄRMLANDS LÄN</t>
        </is>
      </c>
      <c r="E36" t="inlineStr">
        <is>
          <t>FORSHAGA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23266-2019</t>
        </is>
      </c>
      <c r="B37" s="1" t="n">
        <v>43592</v>
      </c>
      <c r="C37" s="1" t="n">
        <v>45702</v>
      </c>
      <c r="D37" t="inlineStr">
        <is>
          <t>VÄRMLANDS LÄN</t>
        </is>
      </c>
      <c r="E37" t="inlineStr">
        <is>
          <t>FORSHAGA</t>
        </is>
      </c>
      <c r="F37" t="inlineStr">
        <is>
          <t>Bergvik skog väst AB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24215-2019</t>
        </is>
      </c>
      <c r="B38" s="1" t="n">
        <v>43599</v>
      </c>
      <c r="C38" s="1" t="n">
        <v>45702</v>
      </c>
      <c r="D38" t="inlineStr">
        <is>
          <t>VÄRMLANDS LÄN</t>
        </is>
      </c>
      <c r="E38" t="inlineStr">
        <is>
          <t>FORSHAGA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26412-2019</t>
        </is>
      </c>
      <c r="B39" s="1" t="n">
        <v>43612</v>
      </c>
      <c r="C39" s="1" t="n">
        <v>45702</v>
      </c>
      <c r="D39" t="inlineStr">
        <is>
          <t>VÄRMLANDS LÄN</t>
        </is>
      </c>
      <c r="E39" t="inlineStr">
        <is>
          <t>FORSHAGA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26509-2019</t>
        </is>
      </c>
      <c r="B40" s="1" t="n">
        <v>43612</v>
      </c>
      <c r="C40" s="1" t="n">
        <v>45702</v>
      </c>
      <c r="D40" t="inlineStr">
        <is>
          <t>VÄRMLANDS LÄN</t>
        </is>
      </c>
      <c r="E40" t="inlineStr">
        <is>
          <t>FORSHAGA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28904-2019</t>
        </is>
      </c>
      <c r="B41" s="1" t="n">
        <v>43628</v>
      </c>
      <c r="C41" s="1" t="n">
        <v>45702</v>
      </c>
      <c r="D41" t="inlineStr">
        <is>
          <t>VÄRMLANDS LÄN</t>
        </is>
      </c>
      <c r="E41" t="inlineStr">
        <is>
          <t>FORSHAGA</t>
        </is>
      </c>
      <c r="G41" t="n">
        <v>6.7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29644-2019</t>
        </is>
      </c>
      <c r="B42" s="1" t="n">
        <v>43630</v>
      </c>
      <c r="C42" s="1" t="n">
        <v>45702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31383-2019</t>
        </is>
      </c>
      <c r="B43" s="1" t="n">
        <v>43641</v>
      </c>
      <c r="C43" s="1" t="n">
        <v>45702</v>
      </c>
      <c r="D43" t="inlineStr">
        <is>
          <t>VÄRMLANDS LÄN</t>
        </is>
      </c>
      <c r="E43" t="inlineStr">
        <is>
          <t>FORSHAGA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31349-2019</t>
        </is>
      </c>
      <c r="B44" s="1" t="n">
        <v>43641</v>
      </c>
      <c r="C44" s="1" t="n">
        <v>45702</v>
      </c>
      <c r="D44" t="inlineStr">
        <is>
          <t>VÄRMLANDS LÄN</t>
        </is>
      </c>
      <c r="E44" t="inlineStr">
        <is>
          <t>FORSHAGA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35088-2019</t>
        </is>
      </c>
      <c r="B45" s="1" t="n">
        <v>43661</v>
      </c>
      <c r="C45" s="1" t="n">
        <v>45702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40018-2019</t>
        </is>
      </c>
      <c r="B46" s="1" t="n">
        <v>43692</v>
      </c>
      <c r="C46" s="1" t="n">
        <v>45702</v>
      </c>
      <c r="D46" t="inlineStr">
        <is>
          <t>VÄRMLANDS LÄN</t>
        </is>
      </c>
      <c r="E46" t="inlineStr">
        <is>
          <t>FORSHAGA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40039-2019</t>
        </is>
      </c>
      <c r="B47" s="1" t="n">
        <v>43692</v>
      </c>
      <c r="C47" s="1" t="n">
        <v>45702</v>
      </c>
      <c r="D47" t="inlineStr">
        <is>
          <t>VÄRMLANDS LÄN</t>
        </is>
      </c>
      <c r="E47" t="inlineStr">
        <is>
          <t>FORSHAGA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40237-2019</t>
        </is>
      </c>
      <c r="B48" s="1" t="n">
        <v>43694</v>
      </c>
      <c r="C48" s="1" t="n">
        <v>45702</v>
      </c>
      <c r="D48" t="inlineStr">
        <is>
          <t>VÄRMLANDS LÄN</t>
        </is>
      </c>
      <c r="E48" t="inlineStr">
        <is>
          <t>FORSHAGA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40238-2019</t>
        </is>
      </c>
      <c r="B49" s="1" t="n">
        <v>43694</v>
      </c>
      <c r="C49" s="1" t="n">
        <v>45702</v>
      </c>
      <c r="D49" t="inlineStr">
        <is>
          <t>VÄRMLANDS LÄN</t>
        </is>
      </c>
      <c r="E49" t="inlineStr">
        <is>
          <t>FORSHAGA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41694-2019</t>
        </is>
      </c>
      <c r="B50" s="1" t="n">
        <v>43696</v>
      </c>
      <c r="C50" s="1" t="n">
        <v>45702</v>
      </c>
      <c r="D50" t="inlineStr">
        <is>
          <t>VÄRMLANDS LÄN</t>
        </is>
      </c>
      <c r="E50" t="inlineStr">
        <is>
          <t>FORSHAGA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42468-2019</t>
        </is>
      </c>
      <c r="B51" s="1" t="n">
        <v>43698</v>
      </c>
      <c r="C51" s="1" t="n">
        <v>45702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42463-2019</t>
        </is>
      </c>
      <c r="B52" s="1" t="n">
        <v>43698</v>
      </c>
      <c r="C52" s="1" t="n">
        <v>45702</v>
      </c>
      <c r="D52" t="inlineStr">
        <is>
          <t>VÄRMLANDS LÄN</t>
        </is>
      </c>
      <c r="E52" t="inlineStr">
        <is>
          <t>FORSHAGA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42472-2019</t>
        </is>
      </c>
      <c r="B53" s="1" t="n">
        <v>43698</v>
      </c>
      <c r="C53" s="1" t="n">
        <v>45702</v>
      </c>
      <c r="D53" t="inlineStr">
        <is>
          <t>VÄRMLANDS LÄN</t>
        </is>
      </c>
      <c r="E53" t="inlineStr">
        <is>
          <t>FORSHAGA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44495-2019</t>
        </is>
      </c>
      <c r="B54" s="1" t="n">
        <v>43711</v>
      </c>
      <c r="C54" s="1" t="n">
        <v>45702</v>
      </c>
      <c r="D54" t="inlineStr">
        <is>
          <t>VÄRMLANDS LÄN</t>
        </is>
      </c>
      <c r="E54" t="inlineStr">
        <is>
          <t>FORSHAGA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47457-2019</t>
        </is>
      </c>
      <c r="B55" s="1" t="n">
        <v>43724</v>
      </c>
      <c r="C55" s="1" t="n">
        <v>45702</v>
      </c>
      <c r="D55" t="inlineStr">
        <is>
          <t>VÄRMLANDS LÄN</t>
        </is>
      </c>
      <c r="E55" t="inlineStr">
        <is>
          <t>FORSHAGA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54640-2019</t>
        </is>
      </c>
      <c r="B56" s="1" t="n">
        <v>43754</v>
      </c>
      <c r="C56" s="1" t="n">
        <v>45702</v>
      </c>
      <c r="D56" t="inlineStr">
        <is>
          <t>VÄRMLANDS LÄN</t>
        </is>
      </c>
      <c r="E56" t="inlineStr">
        <is>
          <t>FORSHAGA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55838-2019</t>
        </is>
      </c>
      <c r="B57" s="1" t="n">
        <v>43761</v>
      </c>
      <c r="C57" s="1" t="n">
        <v>45702</v>
      </c>
      <c r="D57" t="inlineStr">
        <is>
          <t>VÄRMLANDS LÄN</t>
        </is>
      </c>
      <c r="E57" t="inlineStr">
        <is>
          <t>FORSHAGA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55834-2019</t>
        </is>
      </c>
      <c r="B58" s="1" t="n">
        <v>43761</v>
      </c>
      <c r="C58" s="1" t="n">
        <v>45702</v>
      </c>
      <c r="D58" t="inlineStr">
        <is>
          <t>VÄRMLANDS LÄN</t>
        </is>
      </c>
      <c r="E58" t="inlineStr">
        <is>
          <t>FORSHAGA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56825-2019</t>
        </is>
      </c>
      <c r="B59" s="1" t="n">
        <v>43764</v>
      </c>
      <c r="C59" s="1" t="n">
        <v>45702</v>
      </c>
      <c r="D59" t="inlineStr">
        <is>
          <t>VÄRMLANDS LÄN</t>
        </is>
      </c>
      <c r="E59" t="inlineStr">
        <is>
          <t>FORSHAGA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62936-2019</t>
        </is>
      </c>
      <c r="B60" s="1" t="n">
        <v>43784</v>
      </c>
      <c r="C60" s="1" t="n">
        <v>45702</v>
      </c>
      <c r="D60" t="inlineStr">
        <is>
          <t>VÄRMLANDS LÄN</t>
        </is>
      </c>
      <c r="E60" t="inlineStr">
        <is>
          <t>FORSHAGA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63316-2019</t>
        </is>
      </c>
      <c r="B61" s="1" t="n">
        <v>43794</v>
      </c>
      <c r="C61" s="1" t="n">
        <v>45702</v>
      </c>
      <c r="D61" t="inlineStr">
        <is>
          <t>VÄRMLANDS LÄN</t>
        </is>
      </c>
      <c r="E61" t="inlineStr">
        <is>
          <t>FORSHAGA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63954-2019</t>
        </is>
      </c>
      <c r="B62" s="1" t="n">
        <v>43796</v>
      </c>
      <c r="C62" s="1" t="n">
        <v>45702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66439-2019</t>
        </is>
      </c>
      <c r="B63" s="1" t="n">
        <v>43802</v>
      </c>
      <c r="C63" s="1" t="n">
        <v>45702</v>
      </c>
      <c r="D63" t="inlineStr">
        <is>
          <t>VÄRMLANDS LÄN</t>
        </is>
      </c>
      <c r="E63" t="inlineStr">
        <is>
          <t>FORSHAGA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65158-2019</t>
        </is>
      </c>
      <c r="B64" s="1" t="n">
        <v>43802</v>
      </c>
      <c r="C64" s="1" t="n">
        <v>45702</v>
      </c>
      <c r="D64" t="inlineStr">
        <is>
          <t>VÄRMLANDS LÄN</t>
        </is>
      </c>
      <c r="E64" t="inlineStr">
        <is>
          <t>FORSHAGA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66438-2019</t>
        </is>
      </c>
      <c r="B65" s="1" t="n">
        <v>43802</v>
      </c>
      <c r="C65" s="1" t="n">
        <v>45702</v>
      </c>
      <c r="D65" t="inlineStr">
        <is>
          <t>VÄRMLANDS LÄN</t>
        </is>
      </c>
      <c r="E65" t="inlineStr">
        <is>
          <t>FORSHAGA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65839-2019</t>
        </is>
      </c>
      <c r="B66" s="1" t="n">
        <v>43805</v>
      </c>
      <c r="C66" s="1" t="n">
        <v>45702</v>
      </c>
      <c r="D66" t="inlineStr">
        <is>
          <t>VÄRMLANDS LÄN</t>
        </is>
      </c>
      <c r="E66" t="inlineStr">
        <is>
          <t>FORSHAGA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65856-2019</t>
        </is>
      </c>
      <c r="B67" s="1" t="n">
        <v>43805</v>
      </c>
      <c r="C67" s="1" t="n">
        <v>45702</v>
      </c>
      <c r="D67" t="inlineStr">
        <is>
          <t>VÄRMLANDS LÄN</t>
        </is>
      </c>
      <c r="E67" t="inlineStr">
        <is>
          <t>FORSHAGA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68344-2019</t>
        </is>
      </c>
      <c r="B68" s="1" t="n">
        <v>43818</v>
      </c>
      <c r="C68" s="1" t="n">
        <v>45702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99-2020</t>
        </is>
      </c>
      <c r="B69" s="1" t="n">
        <v>43832</v>
      </c>
      <c r="C69" s="1" t="n">
        <v>45702</v>
      </c>
      <c r="D69" t="inlineStr">
        <is>
          <t>VÄRMLANDS LÄN</t>
        </is>
      </c>
      <c r="E69" t="inlineStr">
        <is>
          <t>FORSHAGA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677-2020</t>
        </is>
      </c>
      <c r="B70" s="1" t="n">
        <v>43838</v>
      </c>
      <c r="C70" s="1" t="n">
        <v>45702</v>
      </c>
      <c r="D70" t="inlineStr">
        <is>
          <t>VÄRMLANDS LÄN</t>
        </is>
      </c>
      <c r="E70" t="inlineStr">
        <is>
          <t>FORSHAGA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3245-2020</t>
        </is>
      </c>
      <c r="B71" s="1" t="n">
        <v>43852</v>
      </c>
      <c r="C71" s="1" t="n">
        <v>45702</v>
      </c>
      <c r="D71" t="inlineStr">
        <is>
          <t>VÄRMLANDS LÄN</t>
        </is>
      </c>
      <c r="E71" t="inlineStr">
        <is>
          <t>FORSHAGA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10500-2020</t>
        </is>
      </c>
      <c r="B72" s="1" t="n">
        <v>43886</v>
      </c>
      <c r="C72" s="1" t="n">
        <v>45702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10163-2020</t>
        </is>
      </c>
      <c r="B73" s="1" t="n">
        <v>43886</v>
      </c>
      <c r="C73" s="1" t="n">
        <v>45702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14943-2020</t>
        </is>
      </c>
      <c r="B74" s="1" t="n">
        <v>43906</v>
      </c>
      <c r="C74" s="1" t="n">
        <v>45702</v>
      </c>
      <c r="D74" t="inlineStr">
        <is>
          <t>VÄRMLANDS LÄN</t>
        </is>
      </c>
      <c r="E74" t="inlineStr">
        <is>
          <t>FORSHAGA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15564-2020</t>
        </is>
      </c>
      <c r="B75" s="1" t="n">
        <v>43907</v>
      </c>
      <c r="C75" s="1" t="n">
        <v>45702</v>
      </c>
      <c r="D75" t="inlineStr">
        <is>
          <t>VÄRMLANDS LÄN</t>
        </is>
      </c>
      <c r="E75" t="inlineStr">
        <is>
          <t>FORSHAGA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14270-2020</t>
        </is>
      </c>
      <c r="B76" s="1" t="n">
        <v>43907</v>
      </c>
      <c r="C76" s="1" t="n">
        <v>45702</v>
      </c>
      <c r="D76" t="inlineStr">
        <is>
          <t>VÄRMLANDS LÄN</t>
        </is>
      </c>
      <c r="E76" t="inlineStr">
        <is>
          <t>FORSHAGA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15536-2020</t>
        </is>
      </c>
      <c r="B77" s="1" t="n">
        <v>43907</v>
      </c>
      <c r="C77" s="1" t="n">
        <v>45702</v>
      </c>
      <c r="D77" t="inlineStr">
        <is>
          <t>VÄRMLANDS LÄN</t>
        </is>
      </c>
      <c r="E77" t="inlineStr">
        <is>
          <t>FORSHAGA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14798-2020</t>
        </is>
      </c>
      <c r="B78" s="1" t="n">
        <v>43909</v>
      </c>
      <c r="C78" s="1" t="n">
        <v>45702</v>
      </c>
      <c r="D78" t="inlineStr">
        <is>
          <t>VÄRMLANDS LÄN</t>
        </is>
      </c>
      <c r="E78" t="inlineStr">
        <is>
          <t>FORSHAGA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16037-2020</t>
        </is>
      </c>
      <c r="B79" s="1" t="n">
        <v>43916</v>
      </c>
      <c r="C79" s="1" t="n">
        <v>45702</v>
      </c>
      <c r="D79" t="inlineStr">
        <is>
          <t>VÄRMLANDS LÄN</t>
        </is>
      </c>
      <c r="E79" t="inlineStr">
        <is>
          <t>FORSHAGA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16027-2020</t>
        </is>
      </c>
      <c r="B80" s="1" t="n">
        <v>43916</v>
      </c>
      <c r="C80" s="1" t="n">
        <v>45702</v>
      </c>
      <c r="D80" t="inlineStr">
        <is>
          <t>VÄRMLANDS LÄN</t>
        </is>
      </c>
      <c r="E80" t="inlineStr">
        <is>
          <t>FORSHAGA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18025-2020</t>
        </is>
      </c>
      <c r="B81" s="1" t="n">
        <v>43927</v>
      </c>
      <c r="C81" s="1" t="n">
        <v>45702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18263-2020</t>
        </is>
      </c>
      <c r="B82" s="1" t="n">
        <v>43928</v>
      </c>
      <c r="C82" s="1" t="n">
        <v>45702</v>
      </c>
      <c r="D82" t="inlineStr">
        <is>
          <t>VÄRMLANDS LÄN</t>
        </is>
      </c>
      <c r="E82" t="inlineStr">
        <is>
          <t>FORSHAGA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18258-2020</t>
        </is>
      </c>
      <c r="B83" s="1" t="n">
        <v>43928</v>
      </c>
      <c r="C83" s="1" t="n">
        <v>45702</v>
      </c>
      <c r="D83" t="inlineStr">
        <is>
          <t>VÄRMLANDS LÄN</t>
        </is>
      </c>
      <c r="E83" t="inlineStr">
        <is>
          <t>FORSHAGA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24327-2020</t>
        </is>
      </c>
      <c r="B84" s="1" t="n">
        <v>43976</v>
      </c>
      <c r="C84" s="1" t="n">
        <v>45702</v>
      </c>
      <c r="D84" t="inlineStr">
        <is>
          <t>VÄRMLANDS LÄN</t>
        </is>
      </c>
      <c r="E84" t="inlineStr">
        <is>
          <t>FORSHAGA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29465-2020</t>
        </is>
      </c>
      <c r="B85" s="1" t="n">
        <v>44004</v>
      </c>
      <c r="C85" s="1" t="n">
        <v>45702</v>
      </c>
      <c r="D85" t="inlineStr">
        <is>
          <t>VÄRMLANDS LÄN</t>
        </is>
      </c>
      <c r="E85" t="inlineStr">
        <is>
          <t>FORSHAGA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29854-2020</t>
        </is>
      </c>
      <c r="B86" s="1" t="n">
        <v>44005</v>
      </c>
      <c r="C86" s="1" t="n">
        <v>45702</v>
      </c>
      <c r="D86" t="inlineStr">
        <is>
          <t>VÄRMLANDS LÄN</t>
        </is>
      </c>
      <c r="E86" t="inlineStr">
        <is>
          <t>FORSHAGA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33476-2020</t>
        </is>
      </c>
      <c r="B87" s="1" t="n">
        <v>44023</v>
      </c>
      <c r="C87" s="1" t="n">
        <v>45702</v>
      </c>
      <c r="D87" t="inlineStr">
        <is>
          <t>VÄRMLANDS LÄN</t>
        </is>
      </c>
      <c r="E87" t="inlineStr">
        <is>
          <t>FORSHAGA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36699-2020</t>
        </is>
      </c>
      <c r="B88" s="1" t="n">
        <v>44053</v>
      </c>
      <c r="C88" s="1" t="n">
        <v>45702</v>
      </c>
      <c r="D88" t="inlineStr">
        <is>
          <t>VÄRMLANDS LÄN</t>
        </is>
      </c>
      <c r="E88" t="inlineStr">
        <is>
          <t>FORSHAGA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38969-2020</t>
        </is>
      </c>
      <c r="B89" s="1" t="n">
        <v>44062</v>
      </c>
      <c r="C89" s="1" t="n">
        <v>45702</v>
      </c>
      <c r="D89" t="inlineStr">
        <is>
          <t>VÄRMLANDS LÄN</t>
        </is>
      </c>
      <c r="E89" t="inlineStr">
        <is>
          <t>FORSHAGA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39856-2020</t>
        </is>
      </c>
      <c r="B90" s="1" t="n">
        <v>44067</v>
      </c>
      <c r="C90" s="1" t="n">
        <v>45702</v>
      </c>
      <c r="D90" t="inlineStr">
        <is>
          <t>VÄRMLANDS LÄN</t>
        </is>
      </c>
      <c r="E90" t="inlineStr">
        <is>
          <t>FORSHAGA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39985-2020</t>
        </is>
      </c>
      <c r="B91" s="1" t="n">
        <v>44067</v>
      </c>
      <c r="C91" s="1" t="n">
        <v>45702</v>
      </c>
      <c r="D91" t="inlineStr">
        <is>
          <t>VÄRMLANDS LÄN</t>
        </is>
      </c>
      <c r="E91" t="inlineStr">
        <is>
          <t>FORSHAGA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41332-2020</t>
        </is>
      </c>
      <c r="B92" s="1" t="n">
        <v>44071</v>
      </c>
      <c r="C92" s="1" t="n">
        <v>45702</v>
      </c>
      <c r="D92" t="inlineStr">
        <is>
          <t>VÄRMLANDS LÄN</t>
        </is>
      </c>
      <c r="E92" t="inlineStr">
        <is>
          <t>FORSHAGA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42960-2020</t>
        </is>
      </c>
      <c r="B93" s="1" t="n">
        <v>44078</v>
      </c>
      <c r="C93" s="1" t="n">
        <v>45702</v>
      </c>
      <c r="D93" t="inlineStr">
        <is>
          <t>VÄRMLANDS LÄN</t>
        </is>
      </c>
      <c r="E93" t="inlineStr">
        <is>
          <t>FORSHAGA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42967-2020</t>
        </is>
      </c>
      <c r="B94" s="1" t="n">
        <v>44078</v>
      </c>
      <c r="C94" s="1" t="n">
        <v>45702</v>
      </c>
      <c r="D94" t="inlineStr">
        <is>
          <t>VÄRMLANDS LÄN</t>
        </is>
      </c>
      <c r="E94" t="inlineStr">
        <is>
          <t>FORSHAGA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42993-2020</t>
        </is>
      </c>
      <c r="B95" s="1" t="n">
        <v>44078</v>
      </c>
      <c r="C95" s="1" t="n">
        <v>45702</v>
      </c>
      <c r="D95" t="inlineStr">
        <is>
          <t>VÄRMLANDS LÄN</t>
        </is>
      </c>
      <c r="E95" t="inlineStr">
        <is>
          <t>FORSHAGA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42910-2020</t>
        </is>
      </c>
      <c r="B96" s="1" t="n">
        <v>44078</v>
      </c>
      <c r="C96" s="1" t="n">
        <v>45702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42970-2020</t>
        </is>
      </c>
      <c r="B97" s="1" t="n">
        <v>44078</v>
      </c>
      <c r="C97" s="1" t="n">
        <v>45702</v>
      </c>
      <c r="D97" t="inlineStr">
        <is>
          <t>VÄRMLANDS LÄN</t>
        </is>
      </c>
      <c r="E97" t="inlineStr">
        <is>
          <t>FORSHAGA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42984-2020</t>
        </is>
      </c>
      <c r="B98" s="1" t="n">
        <v>44078</v>
      </c>
      <c r="C98" s="1" t="n">
        <v>45702</v>
      </c>
      <c r="D98" t="inlineStr">
        <is>
          <t>VÄRMLANDS LÄN</t>
        </is>
      </c>
      <c r="E98" t="inlineStr">
        <is>
          <t>FORSHAGA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42965-2020</t>
        </is>
      </c>
      <c r="B99" s="1" t="n">
        <v>44078</v>
      </c>
      <c r="C99" s="1" t="n">
        <v>45702</v>
      </c>
      <c r="D99" t="inlineStr">
        <is>
          <t>VÄRMLANDS LÄN</t>
        </is>
      </c>
      <c r="E99" t="inlineStr">
        <is>
          <t>FORSHAGA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47042-2020</t>
        </is>
      </c>
      <c r="B100" s="1" t="n">
        <v>44096</v>
      </c>
      <c r="C100" s="1" t="n">
        <v>45702</v>
      </c>
      <c r="D100" t="inlineStr">
        <is>
          <t>VÄRMLANDS LÄN</t>
        </is>
      </c>
      <c r="E100" t="inlineStr">
        <is>
          <t>FORSHAGA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48106-2020</t>
        </is>
      </c>
      <c r="B101" s="1" t="n">
        <v>44101</v>
      </c>
      <c r="C101" s="1" t="n">
        <v>45702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48145-2020</t>
        </is>
      </c>
      <c r="B102" s="1" t="n">
        <v>44102</v>
      </c>
      <c r="C102" s="1" t="n">
        <v>45702</v>
      </c>
      <c r="D102" t="inlineStr">
        <is>
          <t>VÄRMLANDS LÄN</t>
        </is>
      </c>
      <c r="E102" t="inlineStr">
        <is>
          <t>FORSHAGA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48314-2020</t>
        </is>
      </c>
      <c r="B103" s="1" t="n">
        <v>44102</v>
      </c>
      <c r="C103" s="1" t="n">
        <v>45702</v>
      </c>
      <c r="D103" t="inlineStr">
        <is>
          <t>VÄRMLANDS LÄN</t>
        </is>
      </c>
      <c r="E103" t="inlineStr">
        <is>
          <t>FORSHAGA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52758-2020</t>
        </is>
      </c>
      <c r="B104" s="1" t="n">
        <v>44118</v>
      </c>
      <c r="C104" s="1" t="n">
        <v>45702</v>
      </c>
      <c r="D104" t="inlineStr">
        <is>
          <t>VÄRMLANDS LÄN</t>
        </is>
      </c>
      <c r="E104" t="inlineStr">
        <is>
          <t>FORSHAGA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53494-2020</t>
        </is>
      </c>
      <c r="B105" s="1" t="n">
        <v>44123</v>
      </c>
      <c r="C105" s="1" t="n">
        <v>45702</v>
      </c>
      <c r="D105" t="inlineStr">
        <is>
          <t>VÄRMLANDS LÄN</t>
        </is>
      </c>
      <c r="E105" t="inlineStr">
        <is>
          <t>FORSHAGA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53590-2020</t>
        </is>
      </c>
      <c r="B106" s="1" t="n">
        <v>44124</v>
      </c>
      <c r="C106" s="1" t="n">
        <v>45702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56871-2020</t>
        </is>
      </c>
      <c r="B107" s="1" t="n">
        <v>44138</v>
      </c>
      <c r="C107" s="1" t="n">
        <v>45702</v>
      </c>
      <c r="D107" t="inlineStr">
        <is>
          <t>VÄRMLANDS LÄN</t>
        </is>
      </c>
      <c r="E107" t="inlineStr">
        <is>
          <t>FORSHAGA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58691-2020</t>
        </is>
      </c>
      <c r="B108" s="1" t="n">
        <v>44146</v>
      </c>
      <c r="C108" s="1" t="n">
        <v>45702</v>
      </c>
      <c r="D108" t="inlineStr">
        <is>
          <t>VÄRMLANDS LÄN</t>
        </is>
      </c>
      <c r="E108" t="inlineStr">
        <is>
          <t>FORSHAGA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59225-2020</t>
        </is>
      </c>
      <c r="B109" s="1" t="n">
        <v>44147</v>
      </c>
      <c r="C109" s="1" t="n">
        <v>45702</v>
      </c>
      <c r="D109" t="inlineStr">
        <is>
          <t>VÄRMLANDS LÄN</t>
        </is>
      </c>
      <c r="E109" t="inlineStr">
        <is>
          <t>FORSHAGA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59620-2020</t>
        </is>
      </c>
      <c r="B110" s="1" t="n">
        <v>44150</v>
      </c>
      <c r="C110" s="1" t="n">
        <v>45702</v>
      </c>
      <c r="D110" t="inlineStr">
        <is>
          <t>VÄRMLANDS LÄN</t>
        </is>
      </c>
      <c r="E110" t="inlineStr">
        <is>
          <t>FORSHAGA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65293-2020</t>
        </is>
      </c>
      <c r="B111" s="1" t="n">
        <v>44173</v>
      </c>
      <c r="C111" s="1" t="n">
        <v>45702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65940-2020</t>
        </is>
      </c>
      <c r="B112" s="1" t="n">
        <v>44175</v>
      </c>
      <c r="C112" s="1" t="n">
        <v>45702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67027-2020</t>
        </is>
      </c>
      <c r="B113" s="1" t="n">
        <v>44180</v>
      </c>
      <c r="C113" s="1" t="n">
        <v>45702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68665-2020</t>
        </is>
      </c>
      <c r="B114" s="1" t="n">
        <v>44187</v>
      </c>
      <c r="C114" s="1" t="n">
        <v>45702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68672-2020</t>
        </is>
      </c>
      <c r="B115" s="1" t="n">
        <v>44187</v>
      </c>
      <c r="C115" s="1" t="n">
        <v>45702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69031-2020</t>
        </is>
      </c>
      <c r="B116" s="1" t="n">
        <v>44188</v>
      </c>
      <c r="C116" s="1" t="n">
        <v>45702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68985-2020</t>
        </is>
      </c>
      <c r="B117" s="1" t="n">
        <v>44188</v>
      </c>
      <c r="C117" s="1" t="n">
        <v>45702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2017-2021</t>
        </is>
      </c>
      <c r="B118" s="1" t="n">
        <v>44210</v>
      </c>
      <c r="C118" s="1" t="n">
        <v>45702</v>
      </c>
      <c r="D118" t="inlineStr">
        <is>
          <t>VÄRMLANDS LÄN</t>
        </is>
      </c>
      <c r="E118" t="inlineStr">
        <is>
          <t>FORSHAGA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2121-2021</t>
        </is>
      </c>
      <c r="B119" s="1" t="n">
        <v>44211</v>
      </c>
      <c r="C119" s="1" t="n">
        <v>45702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20.8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2141-2021</t>
        </is>
      </c>
      <c r="B120" s="1" t="n">
        <v>44211</v>
      </c>
      <c r="C120" s="1" t="n">
        <v>45702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4104-2021</t>
        </is>
      </c>
      <c r="B121" s="1" t="n">
        <v>44222</v>
      </c>
      <c r="C121" s="1" t="n">
        <v>45702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20.9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4991-2021</t>
        </is>
      </c>
      <c r="B122" s="1" t="n">
        <v>44228</v>
      </c>
      <c r="C122" s="1" t="n">
        <v>45702</v>
      </c>
      <c r="D122" t="inlineStr">
        <is>
          <t>VÄRMLANDS LÄN</t>
        </is>
      </c>
      <c r="E122" t="inlineStr">
        <is>
          <t>FORSHAGA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6964-2021</t>
        </is>
      </c>
      <c r="B123" s="1" t="n">
        <v>44237</v>
      </c>
      <c r="C123" s="1" t="n">
        <v>45702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12527-2021</t>
        </is>
      </c>
      <c r="B124" s="1" t="n">
        <v>44269</v>
      </c>
      <c r="C124" s="1" t="n">
        <v>45702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18.8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13156-2021</t>
        </is>
      </c>
      <c r="B125" s="1" t="n">
        <v>44272</v>
      </c>
      <c r="C125" s="1" t="n">
        <v>45702</v>
      </c>
      <c r="D125" t="inlineStr">
        <is>
          <t>VÄRMLANDS LÄN</t>
        </is>
      </c>
      <c r="E125" t="inlineStr">
        <is>
          <t>FORSHAGA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14996-2021</t>
        </is>
      </c>
      <c r="B126" s="1" t="n">
        <v>44281</v>
      </c>
      <c r="C126" s="1" t="n">
        <v>45702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15224-2021</t>
        </is>
      </c>
      <c r="B127" s="1" t="n">
        <v>44284</v>
      </c>
      <c r="C127" s="1" t="n">
        <v>45702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15203-2021</t>
        </is>
      </c>
      <c r="B128" s="1" t="n">
        <v>44284</v>
      </c>
      <c r="C128" s="1" t="n">
        <v>45702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19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16655-2021</t>
        </is>
      </c>
      <c r="B129" s="1" t="n">
        <v>44294</v>
      </c>
      <c r="C129" s="1" t="n">
        <v>45702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20103-2021</t>
        </is>
      </c>
      <c r="B130" s="1" t="n">
        <v>44314</v>
      </c>
      <c r="C130" s="1" t="n">
        <v>45702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22295-2021</t>
        </is>
      </c>
      <c r="B131" s="1" t="n">
        <v>44326</v>
      </c>
      <c r="C131" s="1" t="n">
        <v>45702</v>
      </c>
      <c r="D131" t="inlineStr">
        <is>
          <t>VÄRMLANDS LÄN</t>
        </is>
      </c>
      <c r="E131" t="inlineStr">
        <is>
          <t>FORSHAGA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23049-2021</t>
        </is>
      </c>
      <c r="B132" s="1" t="n">
        <v>44329</v>
      </c>
      <c r="C132" s="1" t="n">
        <v>45702</v>
      </c>
      <c r="D132" t="inlineStr">
        <is>
          <t>VÄRMLANDS LÄN</t>
        </is>
      </c>
      <c r="E132" t="inlineStr">
        <is>
          <t>FORSHAGA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24092-2021</t>
        </is>
      </c>
      <c r="B133" s="1" t="n">
        <v>44336</v>
      </c>
      <c r="C133" s="1" t="n">
        <v>45702</v>
      </c>
      <c r="D133" t="inlineStr">
        <is>
          <t>VÄRMLANDS LÄN</t>
        </is>
      </c>
      <c r="E133" t="inlineStr">
        <is>
          <t>FORSHAGA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30376-2021</t>
        </is>
      </c>
      <c r="B134" s="1" t="n">
        <v>44364</v>
      </c>
      <c r="C134" s="1" t="n">
        <v>45702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17.9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31049-2021</t>
        </is>
      </c>
      <c r="B135" s="1" t="n">
        <v>44368</v>
      </c>
      <c r="C135" s="1" t="n">
        <v>45702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21.6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33003-2021</t>
        </is>
      </c>
      <c r="B136" s="1" t="n">
        <v>44375</v>
      </c>
      <c r="C136" s="1" t="n">
        <v>45702</v>
      </c>
      <c r="D136" t="inlineStr">
        <is>
          <t>VÄRMLANDS LÄN</t>
        </is>
      </c>
      <c r="E136" t="inlineStr">
        <is>
          <t>FORSHAGA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34737-2021</t>
        </is>
      </c>
      <c r="B137" s="1" t="n">
        <v>44382</v>
      </c>
      <c r="C137" s="1" t="n">
        <v>45702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36876-2021</t>
        </is>
      </c>
      <c r="B138" s="1" t="n">
        <v>44393</v>
      </c>
      <c r="C138" s="1" t="n">
        <v>45702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19.4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39660-2021</t>
        </is>
      </c>
      <c r="B139" s="1" t="n">
        <v>44417</v>
      </c>
      <c r="C139" s="1" t="n">
        <v>45702</v>
      </c>
      <c r="D139" t="inlineStr">
        <is>
          <t>VÄRMLANDS LÄN</t>
        </is>
      </c>
      <c r="E139" t="inlineStr">
        <is>
          <t>FORSHAGA</t>
        </is>
      </c>
      <c r="G139" t="n">
        <v>14.8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39802-2021</t>
        </is>
      </c>
      <c r="B140" s="1" t="n">
        <v>44417</v>
      </c>
      <c r="C140" s="1" t="n">
        <v>45702</v>
      </c>
      <c r="D140" t="inlineStr">
        <is>
          <t>VÄRMLANDS LÄN</t>
        </is>
      </c>
      <c r="E140" t="inlineStr">
        <is>
          <t>FORSHAGA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41846-2021</t>
        </is>
      </c>
      <c r="B141" s="1" t="n">
        <v>44425</v>
      </c>
      <c r="C141" s="1" t="n">
        <v>45702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45736-2021</t>
        </is>
      </c>
      <c r="B142" s="1" t="n">
        <v>44441</v>
      </c>
      <c r="C142" s="1" t="n">
        <v>45702</v>
      </c>
      <c r="D142" t="inlineStr">
        <is>
          <t>VÄRMLANDS LÄN</t>
        </is>
      </c>
      <c r="E142" t="inlineStr">
        <is>
          <t>FORSHAGA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45742-2021</t>
        </is>
      </c>
      <c r="B143" s="1" t="n">
        <v>44441</v>
      </c>
      <c r="C143" s="1" t="n">
        <v>45702</v>
      </c>
      <c r="D143" t="inlineStr">
        <is>
          <t>VÄRMLANDS LÄN</t>
        </is>
      </c>
      <c r="E143" t="inlineStr">
        <is>
          <t>FORSHAGA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45738-2021</t>
        </is>
      </c>
      <c r="B144" s="1" t="n">
        <v>44441</v>
      </c>
      <c r="C144" s="1" t="n">
        <v>45702</v>
      </c>
      <c r="D144" t="inlineStr">
        <is>
          <t>VÄRMLANDS LÄN</t>
        </is>
      </c>
      <c r="E144" t="inlineStr">
        <is>
          <t>FORSHAGA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45751-2021</t>
        </is>
      </c>
      <c r="B145" s="1" t="n">
        <v>44441</v>
      </c>
      <c r="C145" s="1" t="n">
        <v>45702</v>
      </c>
      <c r="D145" t="inlineStr">
        <is>
          <t>VÄRMLANDS LÄN</t>
        </is>
      </c>
      <c r="E145" t="inlineStr">
        <is>
          <t>FORSHAGA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46701-2021</t>
        </is>
      </c>
      <c r="B146" s="1" t="n">
        <v>44445</v>
      </c>
      <c r="C146" s="1" t="n">
        <v>45702</v>
      </c>
      <c r="D146" t="inlineStr">
        <is>
          <t>VÄRMLANDS LÄN</t>
        </is>
      </c>
      <c r="E146" t="inlineStr">
        <is>
          <t>FORSHAGA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47431-2021</t>
        </is>
      </c>
      <c r="B147" s="1" t="n">
        <v>44447</v>
      </c>
      <c r="C147" s="1" t="n">
        <v>45702</v>
      </c>
      <c r="D147" t="inlineStr">
        <is>
          <t>VÄRMLANDS LÄN</t>
        </is>
      </c>
      <c r="E147" t="inlineStr">
        <is>
          <t>FORSHAGA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47436-2021</t>
        </is>
      </c>
      <c r="B148" s="1" t="n">
        <v>44447</v>
      </c>
      <c r="C148" s="1" t="n">
        <v>45702</v>
      </c>
      <c r="D148" t="inlineStr">
        <is>
          <t>VÄRMLANDS LÄN</t>
        </is>
      </c>
      <c r="E148" t="inlineStr">
        <is>
          <t>FORSHAGA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48465-2021</t>
        </is>
      </c>
      <c r="B149" s="1" t="n">
        <v>44452</v>
      </c>
      <c r="C149" s="1" t="n">
        <v>45702</v>
      </c>
      <c r="D149" t="inlineStr">
        <is>
          <t>VÄRMLANDS LÄN</t>
        </is>
      </c>
      <c r="E149" t="inlineStr">
        <is>
          <t>FORSHAGA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49617-2021</t>
        </is>
      </c>
      <c r="B150" s="1" t="n">
        <v>44454</v>
      </c>
      <c r="C150" s="1" t="n">
        <v>45702</v>
      </c>
      <c r="D150" t="inlineStr">
        <is>
          <t>VÄRMLANDS LÄN</t>
        </is>
      </c>
      <c r="E150" t="inlineStr">
        <is>
          <t>FORSHAGA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51124-2021</t>
        </is>
      </c>
      <c r="B151" s="1" t="n">
        <v>44461</v>
      </c>
      <c r="C151" s="1" t="n">
        <v>45702</v>
      </c>
      <c r="D151" t="inlineStr">
        <is>
          <t>VÄRMLANDS LÄN</t>
        </is>
      </c>
      <c r="E151" t="inlineStr">
        <is>
          <t>FORSHAGA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54189-2021</t>
        </is>
      </c>
      <c r="B152" s="1" t="n">
        <v>44470</v>
      </c>
      <c r="C152" s="1" t="n">
        <v>45702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24.8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56532-2021</t>
        </is>
      </c>
      <c r="B153" s="1" t="n">
        <v>44480</v>
      </c>
      <c r="C153" s="1" t="n">
        <v>45702</v>
      </c>
      <c r="D153" t="inlineStr">
        <is>
          <t>VÄRMLANDS LÄN</t>
        </is>
      </c>
      <c r="E153" t="inlineStr">
        <is>
          <t>FORSHAGA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57506-2021</t>
        </is>
      </c>
      <c r="B154" s="1" t="n">
        <v>44483</v>
      </c>
      <c r="C154" s="1" t="n">
        <v>45702</v>
      </c>
      <c r="D154" t="inlineStr">
        <is>
          <t>VÄRMLANDS LÄN</t>
        </is>
      </c>
      <c r="E154" t="inlineStr">
        <is>
          <t>FORSHAGA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58292-2021</t>
        </is>
      </c>
      <c r="B155" s="1" t="n">
        <v>44488</v>
      </c>
      <c r="C155" s="1" t="n">
        <v>45702</v>
      </c>
      <c r="D155" t="inlineStr">
        <is>
          <t>VÄRMLANDS LÄN</t>
        </is>
      </c>
      <c r="E155" t="inlineStr">
        <is>
          <t>FORSHAGA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58714-2021</t>
        </is>
      </c>
      <c r="B156" s="1" t="n">
        <v>44489</v>
      </c>
      <c r="C156" s="1" t="n">
        <v>45702</v>
      </c>
      <c r="D156" t="inlineStr">
        <is>
          <t>VÄRMLANDS LÄN</t>
        </is>
      </c>
      <c r="E156" t="inlineStr">
        <is>
          <t>FORSHAGA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63739-2021</t>
        </is>
      </c>
      <c r="B157" s="1" t="n">
        <v>44509</v>
      </c>
      <c r="C157" s="1" t="n">
        <v>45702</v>
      </c>
      <c r="D157" t="inlineStr">
        <is>
          <t>VÄRMLANDS LÄN</t>
        </is>
      </c>
      <c r="E157" t="inlineStr">
        <is>
          <t>FORSHAGA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63922-2021</t>
        </is>
      </c>
      <c r="B158" s="1" t="n">
        <v>44509</v>
      </c>
      <c r="C158" s="1" t="n">
        <v>45702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65915-2021</t>
        </is>
      </c>
      <c r="B159" s="1" t="n">
        <v>44517</v>
      </c>
      <c r="C159" s="1" t="n">
        <v>45702</v>
      </c>
      <c r="D159" t="inlineStr">
        <is>
          <t>VÄRMLANDS LÄN</t>
        </is>
      </c>
      <c r="E159" t="inlineStr">
        <is>
          <t>FORSHAGA</t>
        </is>
      </c>
      <c r="G159" t="n">
        <v>17.2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66035-2021</t>
        </is>
      </c>
      <c r="B160" s="1" t="n">
        <v>44517</v>
      </c>
      <c r="C160" s="1" t="n">
        <v>45702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66111-2021</t>
        </is>
      </c>
      <c r="B161" s="1" t="n">
        <v>44517</v>
      </c>
      <c r="C161" s="1" t="n">
        <v>45702</v>
      </c>
      <c r="D161" t="inlineStr">
        <is>
          <t>VÄRMLANDS LÄN</t>
        </is>
      </c>
      <c r="E161" t="inlineStr">
        <is>
          <t>FORSHAGA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67179-2021</t>
        </is>
      </c>
      <c r="B162" s="1" t="n">
        <v>44523</v>
      </c>
      <c r="C162" s="1" t="n">
        <v>45702</v>
      </c>
      <c r="D162" t="inlineStr">
        <is>
          <t>VÄRMLANDS LÄN</t>
        </is>
      </c>
      <c r="E162" t="inlineStr">
        <is>
          <t>FORSHAGA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67198-2021</t>
        </is>
      </c>
      <c r="B163" s="1" t="n">
        <v>44523</v>
      </c>
      <c r="C163" s="1" t="n">
        <v>45702</v>
      </c>
      <c r="D163" t="inlineStr">
        <is>
          <t>VÄRMLANDS LÄN</t>
        </is>
      </c>
      <c r="E163" t="inlineStr">
        <is>
          <t>FORSHAGA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67321-2021</t>
        </is>
      </c>
      <c r="B164" s="1" t="n">
        <v>44523</v>
      </c>
      <c r="C164" s="1" t="n">
        <v>45702</v>
      </c>
      <c r="D164" t="inlineStr">
        <is>
          <t>VÄRMLANDS LÄN</t>
        </is>
      </c>
      <c r="E164" t="inlineStr">
        <is>
          <t>FORSHAGA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67633-2021</t>
        </is>
      </c>
      <c r="B165" s="1" t="n">
        <v>44524</v>
      </c>
      <c r="C165" s="1" t="n">
        <v>45702</v>
      </c>
      <c r="D165" t="inlineStr">
        <is>
          <t>VÄRMLANDS LÄN</t>
        </is>
      </c>
      <c r="E165" t="inlineStr">
        <is>
          <t>FORSHAGA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67617-2021</t>
        </is>
      </c>
      <c r="B166" s="1" t="n">
        <v>44524</v>
      </c>
      <c r="C166" s="1" t="n">
        <v>45702</v>
      </c>
      <c r="D166" t="inlineStr">
        <is>
          <t>VÄRMLANDS LÄN</t>
        </is>
      </c>
      <c r="E166" t="inlineStr">
        <is>
          <t>FORSHAGA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67770-2021</t>
        </is>
      </c>
      <c r="B167" s="1" t="n">
        <v>44524</v>
      </c>
      <c r="C167" s="1" t="n">
        <v>45702</v>
      </c>
      <c r="D167" t="inlineStr">
        <is>
          <t>VÄRMLANDS LÄN</t>
        </is>
      </c>
      <c r="E167" t="inlineStr">
        <is>
          <t>FORSHAGA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69859-2021</t>
        </is>
      </c>
      <c r="B168" s="1" t="n">
        <v>44532</v>
      </c>
      <c r="C168" s="1" t="n">
        <v>45702</v>
      </c>
      <c r="D168" t="inlineStr">
        <is>
          <t>VÄRMLANDS LÄN</t>
        </is>
      </c>
      <c r="E168" t="inlineStr">
        <is>
          <t>FORSHAGA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70214-2021</t>
        </is>
      </c>
      <c r="B169" s="1" t="n">
        <v>44535</v>
      </c>
      <c r="C169" s="1" t="n">
        <v>45702</v>
      </c>
      <c r="D169" t="inlineStr">
        <is>
          <t>VÄRMLANDS LÄN</t>
        </is>
      </c>
      <c r="E169" t="inlineStr">
        <is>
          <t>FORSHAGA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70294-2021</t>
        </is>
      </c>
      <c r="B170" s="1" t="n">
        <v>44536</v>
      </c>
      <c r="C170" s="1" t="n">
        <v>45702</v>
      </c>
      <c r="D170" t="inlineStr">
        <is>
          <t>VÄRMLANDS LÄN</t>
        </is>
      </c>
      <c r="E170" t="inlineStr">
        <is>
          <t>FORSHAGA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71625-2021</t>
        </is>
      </c>
      <c r="B171" s="1" t="n">
        <v>44542</v>
      </c>
      <c r="C171" s="1" t="n">
        <v>45702</v>
      </c>
      <c r="D171" t="inlineStr">
        <is>
          <t>VÄRMLANDS LÄN</t>
        </is>
      </c>
      <c r="E171" t="inlineStr">
        <is>
          <t>FORSHAGA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71629-2021</t>
        </is>
      </c>
      <c r="B172" s="1" t="n">
        <v>44542</v>
      </c>
      <c r="C172" s="1" t="n">
        <v>45702</v>
      </c>
      <c r="D172" t="inlineStr">
        <is>
          <t>VÄRMLANDS LÄN</t>
        </is>
      </c>
      <c r="E172" t="inlineStr">
        <is>
          <t>FORSHAGA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72240-2021</t>
        </is>
      </c>
      <c r="B173" s="1" t="n">
        <v>44544</v>
      </c>
      <c r="C173" s="1" t="n">
        <v>45702</v>
      </c>
      <c r="D173" t="inlineStr">
        <is>
          <t>VÄRMLANDS LÄN</t>
        </is>
      </c>
      <c r="E173" t="inlineStr">
        <is>
          <t>FORSHAGA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72688-2021</t>
        </is>
      </c>
      <c r="B174" s="1" t="n">
        <v>44546</v>
      </c>
      <c r="C174" s="1" t="n">
        <v>45702</v>
      </c>
      <c r="D174" t="inlineStr">
        <is>
          <t>VÄRMLANDS LÄN</t>
        </is>
      </c>
      <c r="E174" t="inlineStr">
        <is>
          <t>FORSHAGA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72991-2021</t>
        </is>
      </c>
      <c r="B175" s="1" t="n">
        <v>44549</v>
      </c>
      <c r="C175" s="1" t="n">
        <v>45702</v>
      </c>
      <c r="D175" t="inlineStr">
        <is>
          <t>VÄRMLANDS LÄN</t>
        </is>
      </c>
      <c r="E175" t="inlineStr">
        <is>
          <t>FORSHAGA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73264-2021</t>
        </is>
      </c>
      <c r="B176" s="1" t="n">
        <v>44550</v>
      </c>
      <c r="C176" s="1" t="n">
        <v>45702</v>
      </c>
      <c r="D176" t="inlineStr">
        <is>
          <t>VÄRMLANDS LÄN</t>
        </is>
      </c>
      <c r="E176" t="inlineStr">
        <is>
          <t>FORSHAGA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73266-2021</t>
        </is>
      </c>
      <c r="B177" s="1" t="n">
        <v>44550</v>
      </c>
      <c r="C177" s="1" t="n">
        <v>45702</v>
      </c>
      <c r="D177" t="inlineStr">
        <is>
          <t>VÄRMLANDS LÄN</t>
        </is>
      </c>
      <c r="E177" t="inlineStr">
        <is>
          <t>FORSHAGA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73265-2021</t>
        </is>
      </c>
      <c r="B178" s="1" t="n">
        <v>44550</v>
      </c>
      <c r="C178" s="1" t="n">
        <v>45702</v>
      </c>
      <c r="D178" t="inlineStr">
        <is>
          <t>VÄRMLANDS LÄN</t>
        </is>
      </c>
      <c r="E178" t="inlineStr">
        <is>
          <t>FORSHAGA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73267-2021</t>
        </is>
      </c>
      <c r="B179" s="1" t="n">
        <v>44550</v>
      </c>
      <c r="C179" s="1" t="n">
        <v>45702</v>
      </c>
      <c r="D179" t="inlineStr">
        <is>
          <t>VÄRMLANDS LÄN</t>
        </is>
      </c>
      <c r="E179" t="inlineStr">
        <is>
          <t>FORSHAGA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74007-2021</t>
        </is>
      </c>
      <c r="B180" s="1" t="n">
        <v>44557</v>
      </c>
      <c r="C180" s="1" t="n">
        <v>45702</v>
      </c>
      <c r="D180" t="inlineStr">
        <is>
          <t>VÄRMLANDS LÄN</t>
        </is>
      </c>
      <c r="E180" t="inlineStr">
        <is>
          <t>FORSHAGA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463-2022</t>
        </is>
      </c>
      <c r="B181" s="1" t="n">
        <v>44566</v>
      </c>
      <c r="C181" s="1" t="n">
        <v>45702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2278-2022</t>
        </is>
      </c>
      <c r="B182" s="1" t="n">
        <v>44578</v>
      </c>
      <c r="C182" s="1" t="n">
        <v>45702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2818-2022</t>
        </is>
      </c>
      <c r="B183" s="1" t="n">
        <v>44581</v>
      </c>
      <c r="C183" s="1" t="n">
        <v>45702</v>
      </c>
      <c r="D183" t="inlineStr">
        <is>
          <t>VÄRMLANDS LÄN</t>
        </is>
      </c>
      <c r="E183" t="inlineStr">
        <is>
          <t>FORSHAGA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2843-2022</t>
        </is>
      </c>
      <c r="B184" s="1" t="n">
        <v>44581</v>
      </c>
      <c r="C184" s="1" t="n">
        <v>45702</v>
      </c>
      <c r="D184" t="inlineStr">
        <is>
          <t>VÄRMLANDS LÄN</t>
        </is>
      </c>
      <c r="E184" t="inlineStr">
        <is>
          <t>FORSHAGA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2834-2022</t>
        </is>
      </c>
      <c r="B185" s="1" t="n">
        <v>44581</v>
      </c>
      <c r="C185" s="1" t="n">
        <v>45702</v>
      </c>
      <c r="D185" t="inlineStr">
        <is>
          <t>VÄRMLANDS LÄN</t>
        </is>
      </c>
      <c r="E185" t="inlineStr">
        <is>
          <t>FORSHAGA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5758-2022</t>
        </is>
      </c>
      <c r="B186" s="1" t="n">
        <v>44596</v>
      </c>
      <c r="C186" s="1" t="n">
        <v>45702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7289-2022</t>
        </is>
      </c>
      <c r="B187" s="1" t="n">
        <v>44606</v>
      </c>
      <c r="C187" s="1" t="n">
        <v>45702</v>
      </c>
      <c r="D187" t="inlineStr">
        <is>
          <t>VÄRMLANDS LÄN</t>
        </is>
      </c>
      <c r="E187" t="inlineStr">
        <is>
          <t>FORSHAGA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7830-2022</t>
        </is>
      </c>
      <c r="B188" s="1" t="n">
        <v>44608</v>
      </c>
      <c r="C188" s="1" t="n">
        <v>45702</v>
      </c>
      <c r="D188" t="inlineStr">
        <is>
          <t>VÄRMLANDS LÄN</t>
        </is>
      </c>
      <c r="E188" t="inlineStr">
        <is>
          <t>FORSHAGA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7828-2022</t>
        </is>
      </c>
      <c r="B189" s="1" t="n">
        <v>44608</v>
      </c>
      <c r="C189" s="1" t="n">
        <v>45702</v>
      </c>
      <c r="D189" t="inlineStr">
        <is>
          <t>VÄRMLANDS LÄN</t>
        </is>
      </c>
      <c r="E189" t="inlineStr">
        <is>
          <t>FORSHAGA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9264-2022</t>
        </is>
      </c>
      <c r="B190" s="1" t="n">
        <v>44616</v>
      </c>
      <c r="C190" s="1" t="n">
        <v>45702</v>
      </c>
      <c r="D190" t="inlineStr">
        <is>
          <t>VÄRMLANDS LÄN</t>
        </is>
      </c>
      <c r="E190" t="inlineStr">
        <is>
          <t>FORSHAGA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9349-2022</t>
        </is>
      </c>
      <c r="B191" s="1" t="n">
        <v>44616</v>
      </c>
      <c r="C191" s="1" t="n">
        <v>45702</v>
      </c>
      <c r="D191" t="inlineStr">
        <is>
          <t>VÄRMLANDS LÄN</t>
        </is>
      </c>
      <c r="E191" t="inlineStr">
        <is>
          <t>FORSHAGA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9271-2022</t>
        </is>
      </c>
      <c r="B192" s="1" t="n">
        <v>44616</v>
      </c>
      <c r="C192" s="1" t="n">
        <v>45702</v>
      </c>
      <c r="D192" t="inlineStr">
        <is>
          <t>VÄRMLANDS LÄN</t>
        </is>
      </c>
      <c r="E192" t="inlineStr">
        <is>
          <t>FORSHAGA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9350-2022</t>
        </is>
      </c>
      <c r="B193" s="1" t="n">
        <v>44616</v>
      </c>
      <c r="C193" s="1" t="n">
        <v>45702</v>
      </c>
      <c r="D193" t="inlineStr">
        <is>
          <t>VÄRMLANDS LÄN</t>
        </is>
      </c>
      <c r="E193" t="inlineStr">
        <is>
          <t>FORSHAGA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10765-2022</t>
        </is>
      </c>
      <c r="B194" s="1" t="n">
        <v>44627</v>
      </c>
      <c r="C194" s="1" t="n">
        <v>45702</v>
      </c>
      <c r="D194" t="inlineStr">
        <is>
          <t>VÄRMLANDS LÄN</t>
        </is>
      </c>
      <c r="E194" t="inlineStr">
        <is>
          <t>FORSHAGA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12484-2022</t>
        </is>
      </c>
      <c r="B195" s="1" t="n">
        <v>44638</v>
      </c>
      <c r="C195" s="1" t="n">
        <v>45702</v>
      </c>
      <c r="D195" t="inlineStr">
        <is>
          <t>VÄRMLANDS LÄN</t>
        </is>
      </c>
      <c r="E195" t="inlineStr">
        <is>
          <t>FORSHAGA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15553-2022</t>
        </is>
      </c>
      <c r="B196" s="1" t="n">
        <v>44662</v>
      </c>
      <c r="C196" s="1" t="n">
        <v>45702</v>
      </c>
      <c r="D196" t="inlineStr">
        <is>
          <t>VÄRMLANDS LÄN</t>
        </is>
      </c>
      <c r="E196" t="inlineStr">
        <is>
          <t>FORSHAGA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15563-2022</t>
        </is>
      </c>
      <c r="B197" s="1" t="n">
        <v>44662</v>
      </c>
      <c r="C197" s="1" t="n">
        <v>45702</v>
      </c>
      <c r="D197" t="inlineStr">
        <is>
          <t>VÄRMLANDS LÄN</t>
        </is>
      </c>
      <c r="E197" t="inlineStr">
        <is>
          <t>FORSHAGA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15922-2022</t>
        </is>
      </c>
      <c r="B198" s="1" t="n">
        <v>44664</v>
      </c>
      <c r="C198" s="1" t="n">
        <v>45702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16018-2022</t>
        </is>
      </c>
      <c r="B199" s="1" t="n">
        <v>44665</v>
      </c>
      <c r="C199" s="1" t="n">
        <v>45702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17617-2022</t>
        </is>
      </c>
      <c r="B200" s="1" t="n">
        <v>44680</v>
      </c>
      <c r="C200" s="1" t="n">
        <v>45702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18177-2022</t>
        </is>
      </c>
      <c r="B201" s="1" t="n">
        <v>44684</v>
      </c>
      <c r="C201" s="1" t="n">
        <v>45702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18895-2022</t>
        </is>
      </c>
      <c r="B202" s="1" t="n">
        <v>44690</v>
      </c>
      <c r="C202" s="1" t="n">
        <v>45702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19469-2022</t>
        </is>
      </c>
      <c r="B203" s="1" t="n">
        <v>44693</v>
      </c>
      <c r="C203" s="1" t="n">
        <v>45702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19662-2022</t>
        </is>
      </c>
      <c r="B204" s="1" t="n">
        <v>44694</v>
      </c>
      <c r="C204" s="1" t="n">
        <v>45702</v>
      </c>
      <c r="D204" t="inlineStr">
        <is>
          <t>VÄRMLANDS LÄN</t>
        </is>
      </c>
      <c r="E204" t="inlineStr">
        <is>
          <t>FORSHAGA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19677-2022</t>
        </is>
      </c>
      <c r="B205" s="1" t="n">
        <v>44694</v>
      </c>
      <c r="C205" s="1" t="n">
        <v>45702</v>
      </c>
      <c r="D205" t="inlineStr">
        <is>
          <t>VÄRMLANDS LÄN</t>
        </is>
      </c>
      <c r="E205" t="inlineStr">
        <is>
          <t>FORSHAGA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19996-2022</t>
        </is>
      </c>
      <c r="B206" s="1" t="n">
        <v>44697</v>
      </c>
      <c r="C206" s="1" t="n">
        <v>45702</v>
      </c>
      <c r="D206" t="inlineStr">
        <is>
          <t>VÄRMLANDS LÄN</t>
        </is>
      </c>
      <c r="E206" t="inlineStr">
        <is>
          <t>FORSHAGA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20788-2022</t>
        </is>
      </c>
      <c r="B207" s="1" t="n">
        <v>44701</v>
      </c>
      <c r="C207" s="1" t="n">
        <v>45702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21434-2022</t>
        </is>
      </c>
      <c r="B208" s="1" t="n">
        <v>44706</v>
      </c>
      <c r="C208" s="1" t="n">
        <v>45702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23020-2022</t>
        </is>
      </c>
      <c r="B209" s="1" t="n">
        <v>44719</v>
      </c>
      <c r="C209" s="1" t="n">
        <v>45702</v>
      </c>
      <c r="D209" t="inlineStr">
        <is>
          <t>VÄRMLANDS LÄN</t>
        </is>
      </c>
      <c r="E209" t="inlineStr">
        <is>
          <t>FORSHAGA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23280-2022</t>
        </is>
      </c>
      <c r="B210" s="1" t="n">
        <v>44720</v>
      </c>
      <c r="C210" s="1" t="n">
        <v>45702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23379-2022</t>
        </is>
      </c>
      <c r="B211" s="1" t="n">
        <v>44720</v>
      </c>
      <c r="C211" s="1" t="n">
        <v>45702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23377-2022</t>
        </is>
      </c>
      <c r="B212" s="1" t="n">
        <v>44720</v>
      </c>
      <c r="C212" s="1" t="n">
        <v>45702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23887-2022</t>
        </is>
      </c>
      <c r="B213" s="1" t="n">
        <v>44722</v>
      </c>
      <c r="C213" s="1" t="n">
        <v>45702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24036-2022</t>
        </is>
      </c>
      <c r="B214" s="1" t="n">
        <v>44724</v>
      </c>
      <c r="C214" s="1" t="n">
        <v>45702</v>
      </c>
      <c r="D214" t="inlineStr">
        <is>
          <t>VÄRMLANDS LÄN</t>
        </is>
      </c>
      <c r="E214" t="inlineStr">
        <is>
          <t>FORSHAGA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24414-2022</t>
        </is>
      </c>
      <c r="B215" s="1" t="n">
        <v>44726</v>
      </c>
      <c r="C215" s="1" t="n">
        <v>45702</v>
      </c>
      <c r="D215" t="inlineStr">
        <is>
          <t>VÄRMLANDS LÄN</t>
        </is>
      </c>
      <c r="E215" t="inlineStr">
        <is>
          <t>FORSHAGA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26053-2022</t>
        </is>
      </c>
      <c r="B216" s="1" t="n">
        <v>44734</v>
      </c>
      <c r="C216" s="1" t="n">
        <v>45702</v>
      </c>
      <c r="D216" t="inlineStr">
        <is>
          <t>VÄRMLANDS LÄN</t>
        </is>
      </c>
      <c r="E216" t="inlineStr">
        <is>
          <t>FORSHAGA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26154-2022</t>
        </is>
      </c>
      <c r="B217" s="1" t="n">
        <v>44735</v>
      </c>
      <c r="C217" s="1" t="n">
        <v>45702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27507-2022</t>
        </is>
      </c>
      <c r="B218" s="1" t="n">
        <v>44742</v>
      </c>
      <c r="C218" s="1" t="n">
        <v>45702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27534-2022</t>
        </is>
      </c>
      <c r="B219" s="1" t="n">
        <v>44742</v>
      </c>
      <c r="C219" s="1" t="n">
        <v>45702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28327-2022</t>
        </is>
      </c>
      <c r="B220" s="1" t="n">
        <v>44747</v>
      </c>
      <c r="C220" s="1" t="n">
        <v>45702</v>
      </c>
      <c r="D220" t="inlineStr">
        <is>
          <t>VÄRMLANDS LÄN</t>
        </is>
      </c>
      <c r="E220" t="inlineStr">
        <is>
          <t>FORSHAGA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29507-2022</t>
        </is>
      </c>
      <c r="B221" s="1" t="n">
        <v>44753</v>
      </c>
      <c r="C221" s="1" t="n">
        <v>45702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29520-2022</t>
        </is>
      </c>
      <c r="B222" s="1" t="n">
        <v>44753</v>
      </c>
      <c r="C222" s="1" t="n">
        <v>45702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29590-2022</t>
        </is>
      </c>
      <c r="B223" s="1" t="n">
        <v>44754</v>
      </c>
      <c r="C223" s="1" t="n">
        <v>45702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29587-2022</t>
        </is>
      </c>
      <c r="B224" s="1" t="n">
        <v>44754</v>
      </c>
      <c r="C224" s="1" t="n">
        <v>45702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29852-2022</t>
        </is>
      </c>
      <c r="B225" s="1" t="n">
        <v>44756</v>
      </c>
      <c r="C225" s="1" t="n">
        <v>45702</v>
      </c>
      <c r="D225" t="inlineStr">
        <is>
          <t>VÄRMLANDS LÄN</t>
        </is>
      </c>
      <c r="E225" t="inlineStr">
        <is>
          <t>FORSHAGA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31251-2022</t>
        </is>
      </c>
      <c r="B226" s="1" t="n">
        <v>44771</v>
      </c>
      <c r="C226" s="1" t="n">
        <v>45702</v>
      </c>
      <c r="D226" t="inlineStr">
        <is>
          <t>VÄRMLANDS LÄN</t>
        </is>
      </c>
      <c r="E226" t="inlineStr">
        <is>
          <t>FORSHAGA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33033-2022</t>
        </is>
      </c>
      <c r="B227" s="1" t="n">
        <v>44785</v>
      </c>
      <c r="C227" s="1" t="n">
        <v>45702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33037-2022</t>
        </is>
      </c>
      <c r="B228" s="1" t="n">
        <v>44785</v>
      </c>
      <c r="C228" s="1" t="n">
        <v>45702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33951-2022</t>
        </is>
      </c>
      <c r="B229" s="1" t="n">
        <v>44790</v>
      </c>
      <c r="C229" s="1" t="n">
        <v>45702</v>
      </c>
      <c r="D229" t="inlineStr">
        <is>
          <t>VÄRMLANDS LÄN</t>
        </is>
      </c>
      <c r="E229" t="inlineStr">
        <is>
          <t>FORSHAGA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34861-2022</t>
        </is>
      </c>
      <c r="B230" s="1" t="n">
        <v>44796</v>
      </c>
      <c r="C230" s="1" t="n">
        <v>45702</v>
      </c>
      <c r="D230" t="inlineStr">
        <is>
          <t>VÄRMLANDS LÄN</t>
        </is>
      </c>
      <c r="E230" t="inlineStr">
        <is>
          <t>FORSHAGA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34845-2022</t>
        </is>
      </c>
      <c r="B231" s="1" t="n">
        <v>44796</v>
      </c>
      <c r="C231" s="1" t="n">
        <v>45702</v>
      </c>
      <c r="D231" t="inlineStr">
        <is>
          <t>VÄRMLANDS LÄN</t>
        </is>
      </c>
      <c r="E231" t="inlineStr">
        <is>
          <t>FORSHAGA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37543-2022</t>
        </is>
      </c>
      <c r="B232" s="1" t="n">
        <v>44809</v>
      </c>
      <c r="C232" s="1" t="n">
        <v>45702</v>
      </c>
      <c r="D232" t="inlineStr">
        <is>
          <t>VÄRMLANDS LÄN</t>
        </is>
      </c>
      <c r="E232" t="inlineStr">
        <is>
          <t>FORSHAGA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38261-2022</t>
        </is>
      </c>
      <c r="B233" s="1" t="n">
        <v>44812</v>
      </c>
      <c r="C233" s="1" t="n">
        <v>45702</v>
      </c>
      <c r="D233" t="inlineStr">
        <is>
          <t>VÄRMLANDS LÄN</t>
        </is>
      </c>
      <c r="E233" t="inlineStr">
        <is>
          <t>FORSHAGA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38850-2022</t>
        </is>
      </c>
      <c r="B234" s="1" t="n">
        <v>44816</v>
      </c>
      <c r="C234" s="1" t="n">
        <v>45702</v>
      </c>
      <c r="D234" t="inlineStr">
        <is>
          <t>VÄRMLANDS LÄN</t>
        </is>
      </c>
      <c r="E234" t="inlineStr">
        <is>
          <t>FORSHAGA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38788-2022</t>
        </is>
      </c>
      <c r="B235" s="1" t="n">
        <v>44816</v>
      </c>
      <c r="C235" s="1" t="n">
        <v>45702</v>
      </c>
      <c r="D235" t="inlineStr">
        <is>
          <t>VÄRMLANDS LÄN</t>
        </is>
      </c>
      <c r="E235" t="inlineStr">
        <is>
          <t>FORSHAGA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40968-2022</t>
        </is>
      </c>
      <c r="B236" s="1" t="n">
        <v>44823</v>
      </c>
      <c r="C236" s="1" t="n">
        <v>45702</v>
      </c>
      <c r="D236" t="inlineStr">
        <is>
          <t>VÄRMLANDS LÄN</t>
        </is>
      </c>
      <c r="E236" t="inlineStr">
        <is>
          <t>FORSHAGA</t>
        </is>
      </c>
      <c r="G236" t="n">
        <v>16.5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43472-2022</t>
        </is>
      </c>
      <c r="B237" s="1" t="n">
        <v>44836</v>
      </c>
      <c r="C237" s="1" t="n">
        <v>45702</v>
      </c>
      <c r="D237" t="inlineStr">
        <is>
          <t>VÄRMLANDS LÄN</t>
        </is>
      </c>
      <c r="E237" t="inlineStr">
        <is>
          <t>FORSHAGA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44077-2022</t>
        </is>
      </c>
      <c r="B238" s="1" t="n">
        <v>44839</v>
      </c>
      <c r="C238" s="1" t="n">
        <v>45702</v>
      </c>
      <c r="D238" t="inlineStr">
        <is>
          <t>VÄRMLANDS LÄN</t>
        </is>
      </c>
      <c r="E238" t="inlineStr">
        <is>
          <t>FORSHAGA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44456-2022</t>
        </is>
      </c>
      <c r="B239" s="1" t="n">
        <v>44839</v>
      </c>
      <c r="C239" s="1" t="n">
        <v>45702</v>
      </c>
      <c r="D239" t="inlineStr">
        <is>
          <t>VÄRMLANDS LÄN</t>
        </is>
      </c>
      <c r="E239" t="inlineStr">
        <is>
          <t>FORSHAGA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46300-2022</t>
        </is>
      </c>
      <c r="B240" s="1" t="n">
        <v>44847</v>
      </c>
      <c r="C240" s="1" t="n">
        <v>45702</v>
      </c>
      <c r="D240" t="inlineStr">
        <is>
          <t>VÄRMLANDS LÄN</t>
        </is>
      </c>
      <c r="E240" t="inlineStr">
        <is>
          <t>FORSHAGA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47126-2022</t>
        </is>
      </c>
      <c r="B241" s="1" t="n">
        <v>44852</v>
      </c>
      <c r="C241" s="1" t="n">
        <v>45702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50060-2022</t>
        </is>
      </c>
      <c r="B242" s="1" t="n">
        <v>44865</v>
      </c>
      <c r="C242" s="1" t="n">
        <v>45702</v>
      </c>
      <c r="D242" t="inlineStr">
        <is>
          <t>VÄRMLANDS LÄN</t>
        </is>
      </c>
      <c r="E242" t="inlineStr">
        <is>
          <t>FORSHAGA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50068-2022</t>
        </is>
      </c>
      <c r="B243" s="1" t="n">
        <v>44865</v>
      </c>
      <c r="C243" s="1" t="n">
        <v>45702</v>
      </c>
      <c r="D243" t="inlineStr">
        <is>
          <t>VÄRMLANDS LÄN</t>
        </is>
      </c>
      <c r="E243" t="inlineStr">
        <is>
          <t>FORSHAGA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51188-2022</t>
        </is>
      </c>
      <c r="B244" s="1" t="n">
        <v>44868</v>
      </c>
      <c r="C244" s="1" t="n">
        <v>45702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51296-2022</t>
        </is>
      </c>
      <c r="B245" s="1" t="n">
        <v>44868</v>
      </c>
      <c r="C245" s="1" t="n">
        <v>45702</v>
      </c>
      <c r="D245" t="inlineStr">
        <is>
          <t>VÄRMLANDS LÄN</t>
        </is>
      </c>
      <c r="E245" t="inlineStr">
        <is>
          <t>FORSHAGA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51187-2022</t>
        </is>
      </c>
      <c r="B246" s="1" t="n">
        <v>44868</v>
      </c>
      <c r="C246" s="1" t="n">
        <v>45702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53074-2022</t>
        </is>
      </c>
      <c r="B247" s="1" t="n">
        <v>44876</v>
      </c>
      <c r="C247" s="1" t="n">
        <v>45702</v>
      </c>
      <c r="D247" t="inlineStr">
        <is>
          <t>VÄRMLANDS LÄN</t>
        </is>
      </c>
      <c r="E247" t="inlineStr">
        <is>
          <t>FORSHAGA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53181-2022</t>
        </is>
      </c>
      <c r="B248" s="1" t="n">
        <v>44876</v>
      </c>
      <c r="C248" s="1" t="n">
        <v>45702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53706-2022</t>
        </is>
      </c>
      <c r="B249" s="1" t="n">
        <v>44880</v>
      </c>
      <c r="C249" s="1" t="n">
        <v>45702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17.7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53913-2022</t>
        </is>
      </c>
      <c r="B250" s="1" t="n">
        <v>44880</v>
      </c>
      <c r="C250" s="1" t="n">
        <v>45702</v>
      </c>
      <c r="D250" t="inlineStr">
        <is>
          <t>VÄRMLANDS LÄN</t>
        </is>
      </c>
      <c r="E250" t="inlineStr">
        <is>
          <t>FORSHAGA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53910-2022</t>
        </is>
      </c>
      <c r="B251" s="1" t="n">
        <v>44880</v>
      </c>
      <c r="C251" s="1" t="n">
        <v>45702</v>
      </c>
      <c r="D251" t="inlineStr">
        <is>
          <t>VÄRMLANDS LÄN</t>
        </is>
      </c>
      <c r="E251" t="inlineStr">
        <is>
          <t>FORSHAGA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53912-2022</t>
        </is>
      </c>
      <c r="B252" s="1" t="n">
        <v>44880</v>
      </c>
      <c r="C252" s="1" t="n">
        <v>45702</v>
      </c>
      <c r="D252" t="inlineStr">
        <is>
          <t>VÄRMLANDS LÄN</t>
        </is>
      </c>
      <c r="E252" t="inlineStr">
        <is>
          <t>FORSHAGA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54170-2022</t>
        </is>
      </c>
      <c r="B253" s="1" t="n">
        <v>44881</v>
      </c>
      <c r="C253" s="1" t="n">
        <v>45702</v>
      </c>
      <c r="D253" t="inlineStr">
        <is>
          <t>VÄRMLANDS LÄN</t>
        </is>
      </c>
      <c r="E253" t="inlineStr">
        <is>
          <t>FORSHAGA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55722-2022</t>
        </is>
      </c>
      <c r="B254" s="1" t="n">
        <v>44888</v>
      </c>
      <c r="C254" s="1" t="n">
        <v>45702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56302-2022</t>
        </is>
      </c>
      <c r="B255" s="1" t="n">
        <v>44890</v>
      </c>
      <c r="C255" s="1" t="n">
        <v>45702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56748-2022</t>
        </is>
      </c>
      <c r="B256" s="1" t="n">
        <v>44894</v>
      </c>
      <c r="C256" s="1" t="n">
        <v>45702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57080-2022</t>
        </is>
      </c>
      <c r="B257" s="1" t="n">
        <v>44895</v>
      </c>
      <c r="C257" s="1" t="n">
        <v>45702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14.6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57307-2022</t>
        </is>
      </c>
      <c r="B258" s="1" t="n">
        <v>44896</v>
      </c>
      <c r="C258" s="1" t="n">
        <v>45702</v>
      </c>
      <c r="D258" t="inlineStr">
        <is>
          <t>VÄRMLANDS LÄN</t>
        </is>
      </c>
      <c r="E258" t="inlineStr">
        <is>
          <t>FORSHAGA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58380-2022</t>
        </is>
      </c>
      <c r="B259" s="1" t="n">
        <v>44901</v>
      </c>
      <c r="C259" s="1" t="n">
        <v>45702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60043-2022</t>
        </is>
      </c>
      <c r="B260" s="1" t="n">
        <v>44902</v>
      </c>
      <c r="C260" s="1" t="n">
        <v>45702</v>
      </c>
      <c r="D260" t="inlineStr">
        <is>
          <t>VÄRMLANDS LÄN</t>
        </is>
      </c>
      <c r="E260" t="inlineStr">
        <is>
          <t>FORSHAGA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60045-2022</t>
        </is>
      </c>
      <c r="B261" s="1" t="n">
        <v>44902</v>
      </c>
      <c r="C261" s="1" t="n">
        <v>45702</v>
      </c>
      <c r="D261" t="inlineStr">
        <is>
          <t>VÄRMLANDS LÄN</t>
        </is>
      </c>
      <c r="E261" t="inlineStr">
        <is>
          <t>FORSHAGA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60044-2022</t>
        </is>
      </c>
      <c r="B262" s="1" t="n">
        <v>44902</v>
      </c>
      <c r="C262" s="1" t="n">
        <v>45702</v>
      </c>
      <c r="D262" t="inlineStr">
        <is>
          <t>VÄRMLANDS LÄN</t>
        </is>
      </c>
      <c r="E262" t="inlineStr">
        <is>
          <t>FORSHAGA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59423-2022</t>
        </is>
      </c>
      <c r="B263" s="1" t="n">
        <v>44907</v>
      </c>
      <c r="C263" s="1" t="n">
        <v>45702</v>
      </c>
      <c r="D263" t="inlineStr">
        <is>
          <t>VÄRMLANDS LÄN</t>
        </is>
      </c>
      <c r="E263" t="inlineStr">
        <is>
          <t>FORSHAGA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59537-2022</t>
        </is>
      </c>
      <c r="B264" s="1" t="n">
        <v>44907</v>
      </c>
      <c r="C264" s="1" t="n">
        <v>45702</v>
      </c>
      <c r="D264" t="inlineStr">
        <is>
          <t>VÄRMLANDS LÄN</t>
        </is>
      </c>
      <c r="E264" t="inlineStr">
        <is>
          <t>FORSHAGA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59810-2022</t>
        </is>
      </c>
      <c r="B265" s="1" t="n">
        <v>44908</v>
      </c>
      <c r="C265" s="1" t="n">
        <v>45702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17.4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60296-2022</t>
        </is>
      </c>
      <c r="B266" s="1" t="n">
        <v>44910</v>
      </c>
      <c r="C266" s="1" t="n">
        <v>45702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60341-2022</t>
        </is>
      </c>
      <c r="B267" s="1" t="n">
        <v>44910</v>
      </c>
      <c r="C267" s="1" t="n">
        <v>45702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61231-2022</t>
        </is>
      </c>
      <c r="B268" s="1" t="n">
        <v>44915</v>
      </c>
      <c r="C268" s="1" t="n">
        <v>45702</v>
      </c>
      <c r="D268" t="inlineStr">
        <is>
          <t>VÄRMLANDS LÄN</t>
        </is>
      </c>
      <c r="E268" t="inlineStr">
        <is>
          <t>FORSHAGA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61457-2022</t>
        </is>
      </c>
      <c r="B269" s="1" t="n">
        <v>44916</v>
      </c>
      <c r="C269" s="1" t="n">
        <v>45702</v>
      </c>
      <c r="D269" t="inlineStr">
        <is>
          <t>VÄRMLANDS LÄN</t>
        </is>
      </c>
      <c r="E269" t="inlineStr">
        <is>
          <t>FORSHAGA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61463-2022</t>
        </is>
      </c>
      <c r="B270" s="1" t="n">
        <v>44916</v>
      </c>
      <c r="C270" s="1" t="n">
        <v>45702</v>
      </c>
      <c r="D270" t="inlineStr">
        <is>
          <t>VÄRMLANDS LÄN</t>
        </is>
      </c>
      <c r="E270" t="inlineStr">
        <is>
          <t>FORSHAGA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61838-2022</t>
        </is>
      </c>
      <c r="B271" s="1" t="n">
        <v>44917</v>
      </c>
      <c r="C271" s="1" t="n">
        <v>45702</v>
      </c>
      <c r="D271" t="inlineStr">
        <is>
          <t>VÄRMLANDS LÄN</t>
        </is>
      </c>
      <c r="E271" t="inlineStr">
        <is>
          <t>FORSHAGA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820-2023</t>
        </is>
      </c>
      <c r="B272" s="1" t="n">
        <v>44931</v>
      </c>
      <c r="C272" s="1" t="n">
        <v>45702</v>
      </c>
      <c r="D272" t="inlineStr">
        <is>
          <t>VÄRMLANDS LÄN</t>
        </is>
      </c>
      <c r="E272" t="inlineStr">
        <is>
          <t>FORSHAGA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1338-2023</t>
        </is>
      </c>
      <c r="B273" s="1" t="n">
        <v>44936</v>
      </c>
      <c r="C273" s="1" t="n">
        <v>45702</v>
      </c>
      <c r="D273" t="inlineStr">
        <is>
          <t>VÄRMLANDS LÄN</t>
        </is>
      </c>
      <c r="E273" t="inlineStr">
        <is>
          <t>FORSHAGA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1656-2023</t>
        </is>
      </c>
      <c r="B274" s="1" t="n">
        <v>44938</v>
      </c>
      <c r="C274" s="1" t="n">
        <v>45702</v>
      </c>
      <c r="D274" t="inlineStr">
        <is>
          <t>VÄRMLANDS LÄN</t>
        </is>
      </c>
      <c r="E274" t="inlineStr">
        <is>
          <t>FORSHAGA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2812-2023</t>
        </is>
      </c>
      <c r="B275" s="1" t="n">
        <v>44944</v>
      </c>
      <c r="C275" s="1" t="n">
        <v>45702</v>
      </c>
      <c r="D275" t="inlineStr">
        <is>
          <t>VÄRMLANDS LÄN</t>
        </is>
      </c>
      <c r="E275" t="inlineStr">
        <is>
          <t>FORSHAGA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6724-2023</t>
        </is>
      </c>
      <c r="B276" s="1" t="n">
        <v>44966</v>
      </c>
      <c r="C276" s="1" t="n">
        <v>45702</v>
      </c>
      <c r="D276" t="inlineStr">
        <is>
          <t>VÄRMLANDS LÄN</t>
        </is>
      </c>
      <c r="E276" t="inlineStr">
        <is>
          <t>FORSHAGA</t>
        </is>
      </c>
      <c r="F276" t="inlineStr">
        <is>
          <t>Kyrkan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6986-2023</t>
        </is>
      </c>
      <c r="B277" s="1" t="n">
        <v>44967</v>
      </c>
      <c r="C277" s="1" t="n">
        <v>45702</v>
      </c>
      <c r="D277" t="inlineStr">
        <is>
          <t>VÄRMLANDS LÄN</t>
        </is>
      </c>
      <c r="E277" t="inlineStr">
        <is>
          <t>FORSHAGA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7273-2023</t>
        </is>
      </c>
      <c r="B278" s="1" t="n">
        <v>44970</v>
      </c>
      <c r="C278" s="1" t="n">
        <v>45702</v>
      </c>
      <c r="D278" t="inlineStr">
        <is>
          <t>VÄRMLANDS LÄN</t>
        </is>
      </c>
      <c r="E278" t="inlineStr">
        <is>
          <t>FORSHAGA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7297-2023</t>
        </is>
      </c>
      <c r="B279" s="1" t="n">
        <v>44970</v>
      </c>
      <c r="C279" s="1" t="n">
        <v>45702</v>
      </c>
      <c r="D279" t="inlineStr">
        <is>
          <t>VÄRMLANDS LÄN</t>
        </is>
      </c>
      <c r="E279" t="inlineStr">
        <is>
          <t>FORSHAGA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7299-2023</t>
        </is>
      </c>
      <c r="B280" s="1" t="n">
        <v>44970</v>
      </c>
      <c r="C280" s="1" t="n">
        <v>45702</v>
      </c>
      <c r="D280" t="inlineStr">
        <is>
          <t>VÄRMLANDS LÄN</t>
        </is>
      </c>
      <c r="E280" t="inlineStr">
        <is>
          <t>FORSHAGA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7294-2023</t>
        </is>
      </c>
      <c r="B281" s="1" t="n">
        <v>44970</v>
      </c>
      <c r="C281" s="1" t="n">
        <v>45702</v>
      </c>
      <c r="D281" t="inlineStr">
        <is>
          <t>VÄRMLANDS LÄN</t>
        </is>
      </c>
      <c r="E281" t="inlineStr">
        <is>
          <t>FORSHAGA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7486-2023</t>
        </is>
      </c>
      <c r="B282" s="1" t="n">
        <v>44971</v>
      </c>
      <c r="C282" s="1" t="n">
        <v>45702</v>
      </c>
      <c r="D282" t="inlineStr">
        <is>
          <t>VÄRMLANDS LÄN</t>
        </is>
      </c>
      <c r="E282" t="inlineStr">
        <is>
          <t>FORSHAGA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7690-2023</t>
        </is>
      </c>
      <c r="B283" s="1" t="n">
        <v>44972</v>
      </c>
      <c r="C283" s="1" t="n">
        <v>45702</v>
      </c>
      <c r="D283" t="inlineStr">
        <is>
          <t>VÄRMLANDS LÄN</t>
        </is>
      </c>
      <c r="E283" t="inlineStr">
        <is>
          <t>FORSHAGA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7697-2023</t>
        </is>
      </c>
      <c r="B284" s="1" t="n">
        <v>44972</v>
      </c>
      <c r="C284" s="1" t="n">
        <v>45702</v>
      </c>
      <c r="D284" t="inlineStr">
        <is>
          <t>VÄRMLANDS LÄN</t>
        </is>
      </c>
      <c r="E284" t="inlineStr">
        <is>
          <t>FORSHAGA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7919-2023</t>
        </is>
      </c>
      <c r="B285" s="1" t="n">
        <v>44973</v>
      </c>
      <c r="C285" s="1" t="n">
        <v>45702</v>
      </c>
      <c r="D285" t="inlineStr">
        <is>
          <t>VÄRMLANDS LÄN</t>
        </is>
      </c>
      <c r="E285" t="inlineStr">
        <is>
          <t>FORSHAGA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10383-2023</t>
        </is>
      </c>
      <c r="B286" s="1" t="n">
        <v>44987</v>
      </c>
      <c r="C286" s="1" t="n">
        <v>45702</v>
      </c>
      <c r="D286" t="inlineStr">
        <is>
          <t>VÄRMLANDS LÄN</t>
        </is>
      </c>
      <c r="E286" t="inlineStr">
        <is>
          <t>FORSHAGA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10964-2023</t>
        </is>
      </c>
      <c r="B287" s="1" t="n">
        <v>44991</v>
      </c>
      <c r="C287" s="1" t="n">
        <v>45702</v>
      </c>
      <c r="D287" t="inlineStr">
        <is>
          <t>VÄRMLANDS LÄN</t>
        </is>
      </c>
      <c r="E287" t="inlineStr">
        <is>
          <t>FORSHAGA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10960-2023</t>
        </is>
      </c>
      <c r="B288" s="1" t="n">
        <v>44991</v>
      </c>
      <c r="C288" s="1" t="n">
        <v>45702</v>
      </c>
      <c r="D288" t="inlineStr">
        <is>
          <t>VÄRMLANDS LÄN</t>
        </is>
      </c>
      <c r="E288" t="inlineStr">
        <is>
          <t>FORSHAGA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13147-2023</t>
        </is>
      </c>
      <c r="B289" s="1" t="n">
        <v>45002</v>
      </c>
      <c r="C289" s="1" t="n">
        <v>45702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13208-2023</t>
        </is>
      </c>
      <c r="B290" s="1" t="n">
        <v>45002</v>
      </c>
      <c r="C290" s="1" t="n">
        <v>45702</v>
      </c>
      <c r="D290" t="inlineStr">
        <is>
          <t>VÄRMLANDS LÄN</t>
        </is>
      </c>
      <c r="E290" t="inlineStr">
        <is>
          <t>FORSHAGA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13184-2023</t>
        </is>
      </c>
      <c r="B291" s="1" t="n">
        <v>45002</v>
      </c>
      <c r="C291" s="1" t="n">
        <v>45702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14378-2023</t>
        </is>
      </c>
      <c r="B292" s="1" t="n">
        <v>45012</v>
      </c>
      <c r="C292" s="1" t="n">
        <v>45702</v>
      </c>
      <c r="D292" t="inlineStr">
        <is>
          <t>VÄRMLANDS LÄN</t>
        </is>
      </c>
      <c r="E292" t="inlineStr">
        <is>
          <t>FORSHAGA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14382-2023</t>
        </is>
      </c>
      <c r="B293" s="1" t="n">
        <v>45012</v>
      </c>
      <c r="C293" s="1" t="n">
        <v>45702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17628-2023</t>
        </is>
      </c>
      <c r="B294" s="1" t="n">
        <v>45036</v>
      </c>
      <c r="C294" s="1" t="n">
        <v>45702</v>
      </c>
      <c r="D294" t="inlineStr">
        <is>
          <t>VÄRMLANDS LÄN</t>
        </is>
      </c>
      <c r="E294" t="inlineStr">
        <is>
          <t>FORSHAGA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17677-2023</t>
        </is>
      </c>
      <c r="B295" s="1" t="n">
        <v>45037</v>
      </c>
      <c r="C295" s="1" t="n">
        <v>45702</v>
      </c>
      <c r="D295" t="inlineStr">
        <is>
          <t>VÄRMLANDS LÄN</t>
        </is>
      </c>
      <c r="E295" t="inlineStr">
        <is>
          <t>FORSHAGA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18271-2023</t>
        </is>
      </c>
      <c r="B296" s="1" t="n">
        <v>45041</v>
      </c>
      <c r="C296" s="1" t="n">
        <v>45702</v>
      </c>
      <c r="D296" t="inlineStr">
        <is>
          <t>VÄRMLANDS LÄN</t>
        </is>
      </c>
      <c r="E296" t="inlineStr">
        <is>
          <t>FORSHAGA</t>
        </is>
      </c>
      <c r="F296" t="inlineStr">
        <is>
          <t>Bergvik skog väst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18503-2023</t>
        </is>
      </c>
      <c r="B297" s="1" t="n">
        <v>45042</v>
      </c>
      <c r="C297" s="1" t="n">
        <v>45702</v>
      </c>
      <c r="D297" t="inlineStr">
        <is>
          <t>VÄRMLANDS LÄN</t>
        </is>
      </c>
      <c r="E297" t="inlineStr">
        <is>
          <t>FORSHAGA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19069-2023</t>
        </is>
      </c>
      <c r="B298" s="1" t="n">
        <v>45048</v>
      </c>
      <c r="C298" s="1" t="n">
        <v>45702</v>
      </c>
      <c r="D298" t="inlineStr">
        <is>
          <t>VÄRMLANDS LÄN</t>
        </is>
      </c>
      <c r="E298" t="inlineStr">
        <is>
          <t>FORSHAGA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19323-2023</t>
        </is>
      </c>
      <c r="B299" s="1" t="n">
        <v>45049</v>
      </c>
      <c r="C299" s="1" t="n">
        <v>45702</v>
      </c>
      <c r="D299" t="inlineStr">
        <is>
          <t>VÄRMLANDS LÄN</t>
        </is>
      </c>
      <c r="E299" t="inlineStr">
        <is>
          <t>FORSHAGA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19327-2023</t>
        </is>
      </c>
      <c r="B300" s="1" t="n">
        <v>45049</v>
      </c>
      <c r="C300" s="1" t="n">
        <v>45702</v>
      </c>
      <c r="D300" t="inlineStr">
        <is>
          <t>VÄRMLANDS LÄN</t>
        </is>
      </c>
      <c r="E300" t="inlineStr">
        <is>
          <t>FORSHAGA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20244-2023</t>
        </is>
      </c>
      <c r="B301" s="1" t="n">
        <v>45055</v>
      </c>
      <c r="C301" s="1" t="n">
        <v>45702</v>
      </c>
      <c r="D301" t="inlineStr">
        <is>
          <t>VÄRMLANDS LÄN</t>
        </is>
      </c>
      <c r="E301" t="inlineStr">
        <is>
          <t>FORSHAGA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20473-2023</t>
        </is>
      </c>
      <c r="B302" s="1" t="n">
        <v>45057</v>
      </c>
      <c r="C302" s="1" t="n">
        <v>45702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21288-2023</t>
        </is>
      </c>
      <c r="B303" s="1" t="n">
        <v>45062</v>
      </c>
      <c r="C303" s="1" t="n">
        <v>45702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21242-2023</t>
        </is>
      </c>
      <c r="B304" s="1" t="n">
        <v>45062</v>
      </c>
      <c r="C304" s="1" t="n">
        <v>45702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21252-2023</t>
        </is>
      </c>
      <c r="B305" s="1" t="n">
        <v>45062</v>
      </c>
      <c r="C305" s="1" t="n">
        <v>45702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21295-2023</t>
        </is>
      </c>
      <c r="B306" s="1" t="n">
        <v>45062</v>
      </c>
      <c r="C306" s="1" t="n">
        <v>45702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22927-2023</t>
        </is>
      </c>
      <c r="B307" s="1" t="n">
        <v>45072</v>
      </c>
      <c r="C307" s="1" t="n">
        <v>45702</v>
      </c>
      <c r="D307" t="inlineStr">
        <is>
          <t>VÄRMLANDS LÄN</t>
        </is>
      </c>
      <c r="E307" t="inlineStr">
        <is>
          <t>FORSHAGA</t>
        </is>
      </c>
      <c r="F307" t="inlineStr">
        <is>
          <t>Kyrkan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23117-2023</t>
        </is>
      </c>
      <c r="B308" s="1" t="n">
        <v>45075</v>
      </c>
      <c r="C308" s="1" t="n">
        <v>45702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23685-2023</t>
        </is>
      </c>
      <c r="B309" s="1" t="n">
        <v>45077</v>
      </c>
      <c r="C309" s="1" t="n">
        <v>45702</v>
      </c>
      <c r="D309" t="inlineStr">
        <is>
          <t>VÄRMLANDS LÄN</t>
        </is>
      </c>
      <c r="E309" t="inlineStr">
        <is>
          <t>FORSHAGA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23719-2023</t>
        </is>
      </c>
      <c r="B310" s="1" t="n">
        <v>45077</v>
      </c>
      <c r="C310" s="1" t="n">
        <v>45702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23826-2023</t>
        </is>
      </c>
      <c r="B311" s="1" t="n">
        <v>45078</v>
      </c>
      <c r="C311" s="1" t="n">
        <v>45702</v>
      </c>
      <c r="D311" t="inlineStr">
        <is>
          <t>VÄRMLANDS LÄN</t>
        </is>
      </c>
      <c r="E311" t="inlineStr">
        <is>
          <t>FORSHAGA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24036-2023</t>
        </is>
      </c>
      <c r="B312" s="1" t="n">
        <v>45078</v>
      </c>
      <c r="C312" s="1" t="n">
        <v>45702</v>
      </c>
      <c r="D312" t="inlineStr">
        <is>
          <t>VÄRMLANDS LÄN</t>
        </is>
      </c>
      <c r="E312" t="inlineStr">
        <is>
          <t>FORSHAGA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25008-2023</t>
        </is>
      </c>
      <c r="B313" s="1" t="n">
        <v>45085</v>
      </c>
      <c r="C313" s="1" t="n">
        <v>45702</v>
      </c>
      <c r="D313" t="inlineStr">
        <is>
          <t>VÄRMLANDS LÄN</t>
        </is>
      </c>
      <c r="E313" t="inlineStr">
        <is>
          <t>FORSHAGA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26037-2023</t>
        </is>
      </c>
      <c r="B314" s="1" t="n">
        <v>45091</v>
      </c>
      <c r="C314" s="1" t="n">
        <v>45702</v>
      </c>
      <c r="D314" t="inlineStr">
        <is>
          <t>VÄRMLANDS LÄN</t>
        </is>
      </c>
      <c r="E314" t="inlineStr">
        <is>
          <t>FORSHAGA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26103-2023</t>
        </is>
      </c>
      <c r="B315" s="1" t="n">
        <v>45091</v>
      </c>
      <c r="C315" s="1" t="n">
        <v>45702</v>
      </c>
      <c r="D315" t="inlineStr">
        <is>
          <t>VÄRMLANDS LÄN</t>
        </is>
      </c>
      <c r="E315" t="inlineStr">
        <is>
          <t>FORSHAGA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26106-2023</t>
        </is>
      </c>
      <c r="B316" s="1" t="n">
        <v>45091</v>
      </c>
      <c r="C316" s="1" t="n">
        <v>45702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28321-2023</t>
        </is>
      </c>
      <c r="B317" s="1" t="n">
        <v>45099</v>
      </c>
      <c r="C317" s="1" t="n">
        <v>45702</v>
      </c>
      <c r="D317" t="inlineStr">
        <is>
          <t>VÄRMLANDS LÄN</t>
        </is>
      </c>
      <c r="E317" t="inlineStr">
        <is>
          <t>FORSHAGA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29231-2023</t>
        </is>
      </c>
      <c r="B318" s="1" t="n">
        <v>45105</v>
      </c>
      <c r="C318" s="1" t="n">
        <v>45702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29839-2023</t>
        </is>
      </c>
      <c r="B319" s="1" t="n">
        <v>45107</v>
      </c>
      <c r="C319" s="1" t="n">
        <v>45702</v>
      </c>
      <c r="D319" t="inlineStr">
        <is>
          <t>VÄRMLANDS LÄN</t>
        </is>
      </c>
      <c r="E319" t="inlineStr">
        <is>
          <t>FORSHAGA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31980-2023</t>
        </is>
      </c>
      <c r="B320" s="1" t="n">
        <v>45119</v>
      </c>
      <c r="C320" s="1" t="n">
        <v>45702</v>
      </c>
      <c r="D320" t="inlineStr">
        <is>
          <t>VÄRMLANDS LÄN</t>
        </is>
      </c>
      <c r="E320" t="inlineStr">
        <is>
          <t>FORSHAGA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32613-2023</t>
        </is>
      </c>
      <c r="B321" s="1" t="n">
        <v>45121</v>
      </c>
      <c r="C321" s="1" t="n">
        <v>45702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32694-2023</t>
        </is>
      </c>
      <c r="B322" s="1" t="n">
        <v>45121</v>
      </c>
      <c r="C322" s="1" t="n">
        <v>45702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32680-2023</t>
        </is>
      </c>
      <c r="B323" s="1" t="n">
        <v>45121</v>
      </c>
      <c r="C323" s="1" t="n">
        <v>45702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32796-2023</t>
        </is>
      </c>
      <c r="B324" s="1" t="n">
        <v>45124</v>
      </c>
      <c r="C324" s="1" t="n">
        <v>45702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32801-2023</t>
        </is>
      </c>
      <c r="B325" s="1" t="n">
        <v>45124</v>
      </c>
      <c r="C325" s="1" t="n">
        <v>45702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32850-2023</t>
        </is>
      </c>
      <c r="B326" s="1" t="n">
        <v>45124</v>
      </c>
      <c r="C326" s="1" t="n">
        <v>45702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32795-2023</t>
        </is>
      </c>
      <c r="B327" s="1" t="n">
        <v>45124</v>
      </c>
      <c r="C327" s="1" t="n">
        <v>45702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32825-2023</t>
        </is>
      </c>
      <c r="B328" s="1" t="n">
        <v>45124</v>
      </c>
      <c r="C328" s="1" t="n">
        <v>45702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32830-2023</t>
        </is>
      </c>
      <c r="B329" s="1" t="n">
        <v>45124</v>
      </c>
      <c r="C329" s="1" t="n">
        <v>45702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32835-2023</t>
        </is>
      </c>
      <c r="B330" s="1" t="n">
        <v>45124</v>
      </c>
      <c r="C330" s="1" t="n">
        <v>45702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32803-2023</t>
        </is>
      </c>
      <c r="B331" s="1" t="n">
        <v>45124</v>
      </c>
      <c r="C331" s="1" t="n">
        <v>45702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32822-2023</t>
        </is>
      </c>
      <c r="B332" s="1" t="n">
        <v>45124</v>
      </c>
      <c r="C332" s="1" t="n">
        <v>45702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32851-2023</t>
        </is>
      </c>
      <c r="B333" s="1" t="n">
        <v>45124</v>
      </c>
      <c r="C333" s="1" t="n">
        <v>45702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33218-2023</t>
        </is>
      </c>
      <c r="B334" s="1" t="n">
        <v>45127</v>
      </c>
      <c r="C334" s="1" t="n">
        <v>45702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33227-2023</t>
        </is>
      </c>
      <c r="B335" s="1" t="n">
        <v>45127</v>
      </c>
      <c r="C335" s="1" t="n">
        <v>45702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33219-2023</t>
        </is>
      </c>
      <c r="B336" s="1" t="n">
        <v>45127</v>
      </c>
      <c r="C336" s="1" t="n">
        <v>45702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33224-2023</t>
        </is>
      </c>
      <c r="B337" s="1" t="n">
        <v>45127</v>
      </c>
      <c r="C337" s="1" t="n">
        <v>45702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33229-2023</t>
        </is>
      </c>
      <c r="B338" s="1" t="n">
        <v>45127</v>
      </c>
      <c r="C338" s="1" t="n">
        <v>45702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33222-2023</t>
        </is>
      </c>
      <c r="B339" s="1" t="n">
        <v>45127</v>
      </c>
      <c r="C339" s="1" t="n">
        <v>45702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34633-2023</t>
        </is>
      </c>
      <c r="B340" s="1" t="n">
        <v>45140</v>
      </c>
      <c r="C340" s="1" t="n">
        <v>45702</v>
      </c>
      <c r="D340" t="inlineStr">
        <is>
          <t>VÄRMLANDS LÄN</t>
        </is>
      </c>
      <c r="E340" t="inlineStr">
        <is>
          <t>FORSHAGA</t>
        </is>
      </c>
      <c r="F340" t="inlineStr">
        <is>
          <t>Bergvik skog väst AB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35162-2023</t>
        </is>
      </c>
      <c r="B341" s="1" t="n">
        <v>45145</v>
      </c>
      <c r="C341" s="1" t="n">
        <v>45702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35195-2023</t>
        </is>
      </c>
      <c r="B342" s="1" t="n">
        <v>45145</v>
      </c>
      <c r="C342" s="1" t="n">
        <v>45702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35459-2023</t>
        </is>
      </c>
      <c r="B343" s="1" t="n">
        <v>45146</v>
      </c>
      <c r="C343" s="1" t="n">
        <v>45702</v>
      </c>
      <c r="D343" t="inlineStr">
        <is>
          <t>VÄRMLANDS LÄN</t>
        </is>
      </c>
      <c r="E343" t="inlineStr">
        <is>
          <t>FORSHAGA</t>
        </is>
      </c>
      <c r="F343" t="inlineStr">
        <is>
          <t>Kommuner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35466-2023</t>
        </is>
      </c>
      <c r="B344" s="1" t="n">
        <v>45146</v>
      </c>
      <c r="C344" s="1" t="n">
        <v>45702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35436-2023</t>
        </is>
      </c>
      <c r="B345" s="1" t="n">
        <v>45146</v>
      </c>
      <c r="C345" s="1" t="n">
        <v>45702</v>
      </c>
      <c r="D345" t="inlineStr">
        <is>
          <t>VÄRMLANDS LÄN</t>
        </is>
      </c>
      <c r="E345" t="inlineStr">
        <is>
          <t>FORSHAGA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35465-2023</t>
        </is>
      </c>
      <c r="B346" s="1" t="n">
        <v>45146</v>
      </c>
      <c r="C346" s="1" t="n">
        <v>45702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35573-2023</t>
        </is>
      </c>
      <c r="B347" s="1" t="n">
        <v>45147</v>
      </c>
      <c r="C347" s="1" t="n">
        <v>45702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35572-2023</t>
        </is>
      </c>
      <c r="B348" s="1" t="n">
        <v>45147</v>
      </c>
      <c r="C348" s="1" t="n">
        <v>45702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35834-2023</t>
        </is>
      </c>
      <c r="B349" s="1" t="n">
        <v>45148</v>
      </c>
      <c r="C349" s="1" t="n">
        <v>45702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35831-2023</t>
        </is>
      </c>
      <c r="B350" s="1" t="n">
        <v>45148</v>
      </c>
      <c r="C350" s="1" t="n">
        <v>45702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35850-2023</t>
        </is>
      </c>
      <c r="B351" s="1" t="n">
        <v>45148</v>
      </c>
      <c r="C351" s="1" t="n">
        <v>45702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35855-2023</t>
        </is>
      </c>
      <c r="B352" s="1" t="n">
        <v>45148</v>
      </c>
      <c r="C352" s="1" t="n">
        <v>45702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35860-2023</t>
        </is>
      </c>
      <c r="B353" s="1" t="n">
        <v>45148</v>
      </c>
      <c r="C353" s="1" t="n">
        <v>45702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35851-2023</t>
        </is>
      </c>
      <c r="B354" s="1" t="n">
        <v>45148</v>
      </c>
      <c r="C354" s="1" t="n">
        <v>45702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35863-2023</t>
        </is>
      </c>
      <c r="B355" s="1" t="n">
        <v>45148</v>
      </c>
      <c r="C355" s="1" t="n">
        <v>45702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36067-2023</t>
        </is>
      </c>
      <c r="B356" s="1" t="n">
        <v>45149</v>
      </c>
      <c r="C356" s="1" t="n">
        <v>45702</v>
      </c>
      <c r="D356" t="inlineStr">
        <is>
          <t>VÄRMLANDS LÄN</t>
        </is>
      </c>
      <c r="E356" t="inlineStr">
        <is>
          <t>FORSHAGA</t>
        </is>
      </c>
      <c r="F356" t="inlineStr">
        <is>
          <t>Bergvik skog väst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38575-2023</t>
        </is>
      </c>
      <c r="B357" s="1" t="n">
        <v>45162</v>
      </c>
      <c r="C357" s="1" t="n">
        <v>45702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39203-2023</t>
        </is>
      </c>
      <c r="B358" s="1" t="n">
        <v>45166</v>
      </c>
      <c r="C358" s="1" t="n">
        <v>45702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39213-2023</t>
        </is>
      </c>
      <c r="B359" s="1" t="n">
        <v>45166</v>
      </c>
      <c r="C359" s="1" t="n">
        <v>45702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39201-2023</t>
        </is>
      </c>
      <c r="B360" s="1" t="n">
        <v>45166</v>
      </c>
      <c r="C360" s="1" t="n">
        <v>45702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42110-2023</t>
        </is>
      </c>
      <c r="B361" s="1" t="n">
        <v>45177</v>
      </c>
      <c r="C361" s="1" t="n">
        <v>45702</v>
      </c>
      <c r="D361" t="inlineStr">
        <is>
          <t>VÄRMLANDS LÄN</t>
        </is>
      </c>
      <c r="E361" t="inlineStr">
        <is>
          <t>FORSHAGA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42741-2023</t>
        </is>
      </c>
      <c r="B362" s="1" t="n">
        <v>45181</v>
      </c>
      <c r="C362" s="1" t="n">
        <v>45702</v>
      </c>
      <c r="D362" t="inlineStr">
        <is>
          <t>VÄRMLANDS LÄN</t>
        </is>
      </c>
      <c r="E362" t="inlineStr">
        <is>
          <t>FORSHAGA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44167-2023</t>
        </is>
      </c>
      <c r="B363" s="1" t="n">
        <v>45188</v>
      </c>
      <c r="C363" s="1" t="n">
        <v>45702</v>
      </c>
      <c r="D363" t="inlineStr">
        <is>
          <t>VÄRMLANDS LÄN</t>
        </is>
      </c>
      <c r="E363" t="inlineStr">
        <is>
          <t>FORSHAGA</t>
        </is>
      </c>
      <c r="F363" t="inlineStr">
        <is>
          <t>Bergvik skog väst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44281-2023</t>
        </is>
      </c>
      <c r="B364" s="1" t="n">
        <v>45188</v>
      </c>
      <c r="C364" s="1" t="n">
        <v>45702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45438-2023</t>
        </is>
      </c>
      <c r="B365" s="1" t="n">
        <v>45188</v>
      </c>
      <c r="C365" s="1" t="n">
        <v>45702</v>
      </c>
      <c r="D365" t="inlineStr">
        <is>
          <t>VÄRMLANDS LÄN</t>
        </is>
      </c>
      <c r="E365" t="inlineStr">
        <is>
          <t>FORSHAGA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46530-2023</t>
        </is>
      </c>
      <c r="B366" s="1" t="n">
        <v>45197</v>
      </c>
      <c r="C366" s="1" t="n">
        <v>45702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50145-2023</t>
        </is>
      </c>
      <c r="B367" s="1" t="n">
        <v>45215</v>
      </c>
      <c r="C367" s="1" t="n">
        <v>45702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50817-2023</t>
        </is>
      </c>
      <c r="B368" s="1" t="n">
        <v>45217</v>
      </c>
      <c r="C368" s="1" t="n">
        <v>45702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50635-2023</t>
        </is>
      </c>
      <c r="B369" s="1" t="n">
        <v>45217</v>
      </c>
      <c r="C369" s="1" t="n">
        <v>45702</v>
      </c>
      <c r="D369" t="inlineStr">
        <is>
          <t>VÄRMLANDS LÄN</t>
        </is>
      </c>
      <c r="E369" t="inlineStr">
        <is>
          <t>FORSHAGA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50815-2023</t>
        </is>
      </c>
      <c r="B370" s="1" t="n">
        <v>45217</v>
      </c>
      <c r="C370" s="1" t="n">
        <v>45702</v>
      </c>
      <c r="D370" t="inlineStr">
        <is>
          <t>VÄRMLANDS LÄN</t>
        </is>
      </c>
      <c r="E370" t="inlineStr">
        <is>
          <t>FORSHAGA</t>
        </is>
      </c>
      <c r="F370" t="inlineStr">
        <is>
          <t>Bergvik skog väst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55137-2023</t>
        </is>
      </c>
      <c r="B371" s="1" t="n">
        <v>45237</v>
      </c>
      <c r="C371" s="1" t="n">
        <v>45702</v>
      </c>
      <c r="D371" t="inlineStr">
        <is>
          <t>VÄRMLANDS LÄN</t>
        </is>
      </c>
      <c r="E371" t="inlineStr">
        <is>
          <t>FORSHAGA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55249-2023</t>
        </is>
      </c>
      <c r="B372" s="1" t="n">
        <v>45237</v>
      </c>
      <c r="C372" s="1" t="n">
        <v>45702</v>
      </c>
      <c r="D372" t="inlineStr">
        <is>
          <t>VÄRMLANDS LÄN</t>
        </is>
      </c>
      <c r="E372" t="inlineStr">
        <is>
          <t>FORSHAGA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55742-2023</t>
        </is>
      </c>
      <c r="B373" s="1" t="n">
        <v>45239</v>
      </c>
      <c r="C373" s="1" t="n">
        <v>45702</v>
      </c>
      <c r="D373" t="inlineStr">
        <is>
          <t>VÄRMLANDS LÄN</t>
        </is>
      </c>
      <c r="E373" t="inlineStr">
        <is>
          <t>FORSHAGA</t>
        </is>
      </c>
      <c r="F373" t="inlineStr">
        <is>
          <t>Bergvik skog väst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56280-2023</t>
        </is>
      </c>
      <c r="B374" s="1" t="n">
        <v>45241</v>
      </c>
      <c r="C374" s="1" t="n">
        <v>45702</v>
      </c>
      <c r="D374" t="inlineStr">
        <is>
          <t>VÄRMLANDS LÄN</t>
        </is>
      </c>
      <c r="E374" t="inlineStr">
        <is>
          <t>FORSHAGA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58688-2023</t>
        </is>
      </c>
      <c r="B375" s="1" t="n">
        <v>45251</v>
      </c>
      <c r="C375" s="1" t="n">
        <v>45702</v>
      </c>
      <c r="D375" t="inlineStr">
        <is>
          <t>VÄRMLANDS LÄN</t>
        </is>
      </c>
      <c r="E375" t="inlineStr">
        <is>
          <t>FORSHAGA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58697-2023</t>
        </is>
      </c>
      <c r="B376" s="1" t="n">
        <v>45251</v>
      </c>
      <c r="C376" s="1" t="n">
        <v>45702</v>
      </c>
      <c r="D376" t="inlineStr">
        <is>
          <t>VÄRMLANDS LÄN</t>
        </is>
      </c>
      <c r="E376" t="inlineStr">
        <is>
          <t>FORSHAGA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58924-2023</t>
        </is>
      </c>
      <c r="B377" s="1" t="n">
        <v>45252</v>
      </c>
      <c r="C377" s="1" t="n">
        <v>45702</v>
      </c>
      <c r="D377" t="inlineStr">
        <is>
          <t>VÄRMLANDS LÄN</t>
        </is>
      </c>
      <c r="E377" t="inlineStr">
        <is>
          <t>FORSHAGA</t>
        </is>
      </c>
      <c r="F377" t="inlineStr">
        <is>
          <t>Bergvik skog väst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58944-2023</t>
        </is>
      </c>
      <c r="B378" s="1" t="n">
        <v>45252</v>
      </c>
      <c r="C378" s="1" t="n">
        <v>45702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60170-2023</t>
        </is>
      </c>
      <c r="B379" s="1" t="n">
        <v>45258</v>
      </c>
      <c r="C379" s="1" t="n">
        <v>45702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62802-2023</t>
        </is>
      </c>
      <c r="B380" s="1" t="n">
        <v>45271</v>
      </c>
      <c r="C380" s="1" t="n">
        <v>45702</v>
      </c>
      <c r="D380" t="inlineStr">
        <is>
          <t>VÄRMLANDS LÄN</t>
        </is>
      </c>
      <c r="E380" t="inlineStr">
        <is>
          <t>FORSHAGA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62922-2023</t>
        </is>
      </c>
      <c r="B381" s="1" t="n">
        <v>45272</v>
      </c>
      <c r="C381" s="1" t="n">
        <v>45702</v>
      </c>
      <c r="D381" t="inlineStr">
        <is>
          <t>VÄRMLANDS LÄN</t>
        </is>
      </c>
      <c r="E381" t="inlineStr">
        <is>
          <t>FORSHAGA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63311-2023</t>
        </is>
      </c>
      <c r="B382" s="1" t="n">
        <v>45274</v>
      </c>
      <c r="C382" s="1" t="n">
        <v>45702</v>
      </c>
      <c r="D382" t="inlineStr">
        <is>
          <t>VÄRMLANDS LÄN</t>
        </is>
      </c>
      <c r="E382" t="inlineStr">
        <is>
          <t>FORSHAGA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63315-2023</t>
        </is>
      </c>
      <c r="B383" s="1" t="n">
        <v>45274</v>
      </c>
      <c r="C383" s="1" t="n">
        <v>45702</v>
      </c>
      <c r="D383" t="inlineStr">
        <is>
          <t>VÄRMLANDS LÄN</t>
        </is>
      </c>
      <c r="E383" t="inlineStr">
        <is>
          <t>FORSHAGA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63318-2023</t>
        </is>
      </c>
      <c r="B384" s="1" t="n">
        <v>45274</v>
      </c>
      <c r="C384" s="1" t="n">
        <v>45702</v>
      </c>
      <c r="D384" t="inlineStr">
        <is>
          <t>VÄRMLANDS LÄN</t>
        </is>
      </c>
      <c r="E384" t="inlineStr">
        <is>
          <t>FORSHAGA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63317-2023</t>
        </is>
      </c>
      <c r="B385" s="1" t="n">
        <v>45274</v>
      </c>
      <c r="C385" s="1" t="n">
        <v>45702</v>
      </c>
      <c r="D385" t="inlineStr">
        <is>
          <t>VÄRMLANDS LÄN</t>
        </is>
      </c>
      <c r="E385" t="inlineStr">
        <is>
          <t>FORSHAGA</t>
        </is>
      </c>
      <c r="F385" t="inlineStr">
        <is>
          <t>Bergvik skog väst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63321-2023</t>
        </is>
      </c>
      <c r="B386" s="1" t="n">
        <v>45274</v>
      </c>
      <c r="C386" s="1" t="n">
        <v>45702</v>
      </c>
      <c r="D386" t="inlineStr">
        <is>
          <t>VÄRMLANDS LÄN</t>
        </is>
      </c>
      <c r="E386" t="inlineStr">
        <is>
          <t>FORSHAGA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63799-2023</t>
        </is>
      </c>
      <c r="B387" s="1" t="n">
        <v>45278</v>
      </c>
      <c r="C387" s="1" t="n">
        <v>45702</v>
      </c>
      <c r="D387" t="inlineStr">
        <is>
          <t>VÄRMLANDS LÄN</t>
        </is>
      </c>
      <c r="E387" t="inlineStr">
        <is>
          <t>FORSHAGA</t>
        </is>
      </c>
      <c r="F387" t="inlineStr">
        <is>
          <t>Bergvik skog väst AB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63975-2023</t>
        </is>
      </c>
      <c r="B388" s="1" t="n">
        <v>45278</v>
      </c>
      <c r="C388" s="1" t="n">
        <v>45702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64121-2023</t>
        </is>
      </c>
      <c r="B389" s="1" t="n">
        <v>45279</v>
      </c>
      <c r="C389" s="1" t="n">
        <v>45702</v>
      </c>
      <c r="D389" t="inlineStr">
        <is>
          <t>VÄRMLANDS LÄN</t>
        </is>
      </c>
      <c r="E389" t="inlineStr">
        <is>
          <t>FORSHAGA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65062-2023</t>
        </is>
      </c>
      <c r="B390" s="1" t="n">
        <v>45287</v>
      </c>
      <c r="C390" s="1" t="n">
        <v>45702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2686-2024</t>
        </is>
      </c>
      <c r="B391" s="1" t="n">
        <v>45314</v>
      </c>
      <c r="C391" s="1" t="n">
        <v>45702</v>
      </c>
      <c r="D391" t="inlineStr">
        <is>
          <t>VÄRMLANDS LÄN</t>
        </is>
      </c>
      <c r="E391" t="inlineStr">
        <is>
          <t>FORSHAGA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3576-2024</t>
        </is>
      </c>
      <c r="B392" s="1" t="n">
        <v>45320</v>
      </c>
      <c r="C392" s="1" t="n">
        <v>45702</v>
      </c>
      <c r="D392" t="inlineStr">
        <is>
          <t>VÄRMLANDS LÄN</t>
        </is>
      </c>
      <c r="E392" t="inlineStr">
        <is>
          <t>FORSHAGA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6145-2024</t>
        </is>
      </c>
      <c r="B393" s="1" t="n">
        <v>45337</v>
      </c>
      <c r="C393" s="1" t="n">
        <v>45702</v>
      </c>
      <c r="D393" t="inlineStr">
        <is>
          <t>VÄRMLANDS LÄN</t>
        </is>
      </c>
      <c r="E393" t="inlineStr">
        <is>
          <t>FORSHAGA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45702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45702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45702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45702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45702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45702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45702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45702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45702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45702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45702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45702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45702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45702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45702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45702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45702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45702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45702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45702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45702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45702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45702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45702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45702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45702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45702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45702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45702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45702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45702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45702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45702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45702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45702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45702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45702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45702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45702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45702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45702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45702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45702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45702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45702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45702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45702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45702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45702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45702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45702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45702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45702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45702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45702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45702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45702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45702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45702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45702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45702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45702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45702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45702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45702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45702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45702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45702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45702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45702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45702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45702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45702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45702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45702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45702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45702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45702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45702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45702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45702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45702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45702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45702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45702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45702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45702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45702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45702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45702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45702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45702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45702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45702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45702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45702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45702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45702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45702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45702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45702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45702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45702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45702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45702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45702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45702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45702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45702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45702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45702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45702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45702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45702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45702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45702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45702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45702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45702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45702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45702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45702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45702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45702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45702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45702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45702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45702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45702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45702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45702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45702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45702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45702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45702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3456-2025</t>
        </is>
      </c>
      <c r="B529" s="1" t="n">
        <v>45680</v>
      </c>
      <c r="C529" s="1" t="n">
        <v>45702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6381-2025</t>
        </is>
      </c>
      <c r="B530" s="1" t="n">
        <v>45699</v>
      </c>
      <c r="C530" s="1" t="n">
        <v>45702</v>
      </c>
      <c r="D530" t="inlineStr">
        <is>
          <t>VÄRMLANDS LÄN</t>
        </is>
      </c>
      <c r="E530" t="inlineStr">
        <is>
          <t>FORSHAGA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6873-2025</t>
        </is>
      </c>
      <c r="B531" s="1" t="n">
        <v>45701</v>
      </c>
      <c r="C531" s="1" t="n">
        <v>45702</v>
      </c>
      <c r="D531" t="inlineStr">
        <is>
          <t>VÄRMLANDS LÄN</t>
        </is>
      </c>
      <c r="E531" t="inlineStr">
        <is>
          <t>FORSHAGA</t>
        </is>
      </c>
      <c r="F531" t="inlineStr">
        <is>
          <t>Bergvik skog väst AB</t>
        </is>
      </c>
      <c r="G531" t="n">
        <v>11.7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6909-2025</t>
        </is>
      </c>
      <c r="B532" s="1" t="n">
        <v>45701</v>
      </c>
      <c r="C532" s="1" t="n">
        <v>45702</v>
      </c>
      <c r="D532" t="inlineStr">
        <is>
          <t>VÄRMLANDS LÄN</t>
        </is>
      </c>
      <c r="E532" t="inlineStr">
        <is>
          <t>FORSHAGA</t>
        </is>
      </c>
      <c r="F532" t="inlineStr">
        <is>
          <t>Bergvik skog väst AB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6945-2025</t>
        </is>
      </c>
      <c r="B533" s="1" t="n">
        <v>45701</v>
      </c>
      <c r="C533" s="1" t="n">
        <v>45702</v>
      </c>
      <c r="D533" t="inlineStr">
        <is>
          <t>VÄRMLANDS LÄN</t>
        </is>
      </c>
      <c r="E533" t="inlineStr">
        <is>
          <t>FORSHAGA</t>
        </is>
      </c>
      <c r="F533" t="inlineStr">
        <is>
          <t>Bergvik skog väst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6887-2025</t>
        </is>
      </c>
      <c r="B534" s="1" t="n">
        <v>45701</v>
      </c>
      <c r="C534" s="1" t="n">
        <v>45702</v>
      </c>
      <c r="D534" t="inlineStr">
        <is>
          <t>VÄRMLANDS LÄN</t>
        </is>
      </c>
      <c r="E534" t="inlineStr">
        <is>
          <t>FORSHAGA</t>
        </is>
      </c>
      <c r="F534" t="inlineStr">
        <is>
          <t>Bergvik skog väst AB</t>
        </is>
      </c>
      <c r="G534" t="n">
        <v>5.3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6947-2025</t>
        </is>
      </c>
      <c r="B535" s="1" t="n">
        <v>45701</v>
      </c>
      <c r="C535" s="1" t="n">
        <v>45702</v>
      </c>
      <c r="D535" t="inlineStr">
        <is>
          <t>VÄRMLANDS LÄN</t>
        </is>
      </c>
      <c r="E535" t="inlineStr">
        <is>
          <t>FORSHAGA</t>
        </is>
      </c>
      <c r="F535" t="inlineStr">
        <is>
          <t>Bergvik skog väst AB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>
      <c r="A536" t="inlineStr">
        <is>
          <t>A 6918-2025</t>
        </is>
      </c>
      <c r="B536" s="1" t="n">
        <v>45701</v>
      </c>
      <c r="C536" s="1" t="n">
        <v>45702</v>
      </c>
      <c r="D536" t="inlineStr">
        <is>
          <t>VÄRMLANDS LÄN</t>
        </is>
      </c>
      <c r="E536" t="inlineStr">
        <is>
          <t>FORSHAGA</t>
        </is>
      </c>
      <c r="F536" t="inlineStr">
        <is>
          <t>Bergvik skog väst AB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2025-02-14T16:31:04Z</dcterms:created>
  <dcterms:modified xmlns:dcterms="http://purl.org/dc/terms/" xmlns:xsi="http://www.w3.org/2001/XMLSchema-instance" xsi:type="dcterms:W3CDTF">2025-02-14T16:31:05Z</dcterms:modified>
</cp:coreProperties>
</file>